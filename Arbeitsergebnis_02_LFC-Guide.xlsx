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Übersicht" sheetId="1" state="visible" r:id="rId3"/>
    <sheet name="LISTEN" sheetId="2" state="visible" r:id="rId4"/>
    <sheet name="01_Makroebene" sheetId="3" state="visible" r:id="rId5"/>
    <sheet name="02_Kompetenztransformation" sheetId="4" state="visible" r:id="rId6"/>
    <sheet name="03_Strategien" sheetId="5" state="visible" r:id="rId7"/>
    <sheet name="04_Methodenmorphologie" sheetId="6" state="visible" r:id="rId8"/>
    <sheet name="05_Lernsituation" sheetId="7" state="visible" r:id="rId9"/>
    <sheet name="06_E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<sst xmlns="http://schemas.openxmlformats.org/spreadsheetml/2006/main" count="413" uniqueCount="321">
  <si>
    <t xml:space="preserve">LFC-Guide: Kompetenzorientierte Gestaltung der Remanufacturing-Lernfabrik – Arbeitsergebnis 02</t>
  </si>
  <si>
    <t xml:space="preserve">Systematik nach Tisch, M.; Hertle, C.; Abele, E.; Metternich, J.; Tenberg, R. (2016): Learning factory design: a competency-oriented approach integrating three design levels. Int. J. of Computer Integrated Manufacturing 29(12), S. 1355–1375. DOI: 10.1080/0951192X.2015.1033017. – Ergänzt Arbeitsergebnis_01 (Morphologie nach Abele et al. 2024): Die Morphologie beschreibt den Gestaltungsraum, der LFC-Guide strukturiert den Gestaltungsprozess.</t>
  </si>
  <si>
    <t xml:space="preserve">Ebene</t>
  </si>
  <si>
    <t xml:space="preserve">Gestaltungsgegenstand (nach Tisch et al. 2016, Abb. 2)</t>
  </si>
  <si>
    <t xml:space="preserve">Blatt in dieser Datei</t>
  </si>
  <si>
    <t xml:space="preserve">Makro – Lernfabrik</t>
  </si>
  <si>
    <t xml:space="preserve">Gestaltung der Lernfabrik-Infrastruktur inkl. Produktionsumgebung sowie grundlegender Teile der intendierten Lernprozesse. Leitfrage 1. didaktische Transformation: Was sind relevante Lernziele und Inhalte für die beteiligten Stakeholder?</t>
  </si>
  <si>
    <t xml:space="preserve">01_Makroebene</t>
  </si>
  <si>
    <t xml:space="preserve">Meso – Lernmodul</t>
  </si>
  <si>
    <t xml:space="preserve">Gestaltung der Lernmodule inkl. Explikation spezifischer Teilkompetenzen und Definition genereller Lehr-Lern-Sequenzen. Leitfrage 2. didaktische Transformation: Wie können Lernziele und Inhalte in der Lernfabrik adressiert werden?</t>
  </si>
  <si>
    <t xml:space="preserve">02_Kompetenztransformation, 03_Strategien, 04_Methodenmorphologie</t>
  </si>
  <si>
    <t xml:space="preserve">Mikro – Lernsituation</t>
  </si>
  <si>
    <t xml:space="preserve">Gestaltung spezifischer Lehr-Lern-Situationen (Explorations-/Experimentier- und Systematisierungsaktivitäten).</t>
  </si>
  <si>
    <t xml:space="preserve">05_Lernsituation</t>
  </si>
  <si>
    <t xml:space="preserve">Evaluation</t>
  </si>
  <si>
    <t xml:space="preserve">Überprüfung der Lernzielerreichung (Kompetenztransformationstabelle als Basis semistrukturierter Beobachtungsbögen; Vergleich intuitiv vs. systematisch gestaltet, vgl. Tab. 8 bei Tisch et al. 2016).</t>
  </si>
  <si>
    <t xml:space="preserve">06_Evaluation</t>
  </si>
  <si>
    <t xml:space="preserve">Theoretische Anschlussstellen dieser Arbeit</t>
  </si>
  <si>
    <t xml:space="preserve">Baustein</t>
  </si>
  <si>
    <t xml:space="preserve">Verankerung</t>
  </si>
  <si>
    <t xml:space="preserve">Kompetenzbegriff</t>
  </si>
  <si>
    <t xml:space="preserve">Kompetenzen als Dispositionen zu reflektiertem, selbstorganisiertem Handeln; vier Kompetenzklassen F/S/P/A (Erpenbeck &amp; von Rosenstiel 2007; Erpenbeck &amp; Heyse 2007). Der LFC-Guide expliziert zunächst fachlich-methodische Kompetenzen (F/TMC) und operationalisiert sie als Handlungen und Wissen.</t>
  </si>
  <si>
    <t xml:space="preserve">Lernzielformulierung</t>
  </si>
  <si>
    <t xml:space="preserve">Handlungsverben und kognitive Stufung nach der revidierten Bloom-Taxonomie (Anderson &amp; Krathwohl 2001; Krathwohl 2002) – siehe Blätter BloomBezug/Bloom&amp;Erpenbeck in Arbeitsergebnis_01.</t>
  </si>
  <si>
    <t xml:space="preserve">Wissensarten</t>
  </si>
  <si>
    <t xml:space="preserve">Unterscheidung Fachwissen (professional knowledge: Was/Wann/Wie; Breite des Handelns) und konzeptuelles Wissen (Warum; Qualität des Handelns, heuristische Problemlösung) nach Tenberg (2011) / Renkl (1994), zit. n. Tisch et al. (2016).</t>
  </si>
  <si>
    <t xml:space="preserve">Lernprozess</t>
  </si>
  <si>
    <t xml:space="preserve">Wechsel von Denken und Tun (Aebli 1994); Verzahnung informellen und formalen Lernens (Abel et al. 2013); Problem-Pull vs. Theory-Push (Cachay 2013), zit. n. Tisch et al. (2016).</t>
  </si>
  <si>
    <t xml:space="preserve">Hinweis: Alle vorbefüllten Inhalte mit Kennzeichnung [Beispiel] sind eigene, auf den Remanufacturing-Kontext (RePAIR-Labor) übertragene Arbeitsentwürfe in Analogie zu den Use Cases bei Tisch et al. (2016) – keine Zitate. Vor Verwendung in der Masterarbeit fachlich prüfen.</t>
  </si>
  <si>
    <t xml:space="preserve">Kompetenzklasse</t>
  </si>
  <si>
    <t xml:space="preserve">BloomStufe</t>
  </si>
  <si>
    <t xml:space="preserve">BloomWissensart</t>
  </si>
  <si>
    <t xml:space="preserve">Status</t>
  </si>
  <si>
    <t xml:space="preserve">Aktivitaetstyp</t>
  </si>
  <si>
    <t xml:space="preserve">Lernprozessstrategie</t>
  </si>
  <si>
    <t xml:space="preserve">Bewertung</t>
  </si>
  <si>
    <t xml:space="preserve">Auspraegung3</t>
  </si>
  <si>
    <t xml:space="preserve">F – fachlich-methodisch</t>
  </si>
  <si>
    <t xml:space="preserve">1. Erinnern</t>
  </si>
  <si>
    <t xml:space="preserve">A. Faktenwissen</t>
  </si>
  <si>
    <t xml:space="preserve">Entwurf</t>
  </si>
  <si>
    <t xml:space="preserve">Exploration/Experiment</t>
  </si>
  <si>
    <t xml:space="preserve">Problem-Pull</t>
  </si>
  <si>
    <t xml:space="preserve">erfüllt</t>
  </si>
  <si>
    <t xml:space="preserve">niedrig</t>
  </si>
  <si>
    <t xml:space="preserve">S – sozial-kommunikativ</t>
  </si>
  <si>
    <t xml:space="preserve">2. Verstehen</t>
  </si>
  <si>
    <t xml:space="preserve">B. Konzeptuelles Wissen</t>
  </si>
  <si>
    <t xml:space="preserve">in Prüfung</t>
  </si>
  <si>
    <t xml:space="preserve">Systematisierung</t>
  </si>
  <si>
    <t xml:space="preserve">Theory-Push</t>
  </si>
  <si>
    <t xml:space="preserve">teilweise</t>
  </si>
  <si>
    <t xml:space="preserve">mittel</t>
  </si>
  <si>
    <t xml:space="preserve">P – personal</t>
  </si>
  <si>
    <t xml:space="preserve">3. Anwenden</t>
  </si>
  <si>
    <t xml:space="preserve">C. Prozedurales Wissen</t>
  </si>
  <si>
    <t xml:space="preserve">validiert</t>
  </si>
  <si>
    <t xml:space="preserve">Test/Anwendung</t>
  </si>
  <si>
    <t xml:space="preserve">Reflexion zuerst</t>
  </si>
  <si>
    <t xml:space="preserve">nicht erfüllt</t>
  </si>
  <si>
    <t xml:space="preserve">hoch</t>
  </si>
  <si>
    <t xml:space="preserve">A – aktivitäts-/umsetzungsorientiert</t>
  </si>
  <si>
    <t xml:space="preserve">4. Analysieren</t>
  </si>
  <si>
    <t xml:space="preserve">D. Metakognitives Wissen</t>
  </si>
  <si>
    <t xml:space="preserve">verworfen</t>
  </si>
  <si>
    <t xml:space="preserve">Reflexion/Feedback</t>
  </si>
  <si>
    <t xml:space="preserve">nicht relevant</t>
  </si>
  <si>
    <t xml:space="preserve">5. Bewerten</t>
  </si>
  <si>
    <t xml:space="preserve">6. Erschaffen</t>
  </si>
  <si>
    <t xml:space="preserve">Makroebene: Lernfabrik-Umgebung (1. und 2. didaktische Transformation)</t>
  </si>
  <si>
    <t xml:space="preserve">Arbeitsmodell nach Tisch et al. (2016), Abb. 3: Organisationale Anforderungen → intendierte Kompetenzen (Schnittstelle) → Konfiguration soziotechnische + didaktische Infrastruktur. Vorbefüllung [Beispiel] aus Arbeitsergebnis_01 übernommen bzw. abgeleitet.</t>
  </si>
  <si>
    <t xml:space="preserve">A. Organisationale Anforderungen (1. didaktische Transformation)</t>
  </si>
  <si>
    <t xml:space="preserve">Element</t>
  </si>
  <si>
    <t xml:space="preserve">Inhalt (Arbeitsstand)</t>
  </si>
  <si>
    <t xml:space="preserve">Quelle/Bezug</t>
  </si>
  <si>
    <t xml:space="preserve">Organisationales Umfeld</t>
  </si>
  <si>
    <t xml:space="preserve">[Beispiel] RePAIR-Labor / Hochschule Aalen; Graduate Campus; regionale Industriepartner; hochschulische Lehre und berufliche Weiterbildung im Kontext Kreislaufwirtschaft/Remanufacturing.</t>
  </si>
  <si>
    <t xml:space="preserve">Tisch et al. (2016); Arbeitsergebnis_01</t>
  </si>
  <si>
    <t xml:space="preserve">Organisationale Ziele</t>
  </si>
  <si>
    <t xml:space="preserve">[Beispiel] Aufbau von Remanufacturing-Kompetenzen über heterogene Zielgruppen hinweg; Lehrpersonenunabhängigkeit; wirtschaftlich tragfähiger, modularer Betrieb ('Schrank-Prinzip').</t>
  </si>
  <si>
    <t xml:space="preserve">Zielgruppen</t>
  </si>
  <si>
    <t xml:space="preserve">[Beispiel] Schüler:innen, Bachelor-/Masterstudierende, Auszubildende, Fachkräfte, Führungskräfte (vgl. Element 2.3, Arbeitsergebnis_01); heterogene Teilnehmerkonstellationen.</t>
  </si>
  <si>
    <t xml:space="preserve">Aktuelle Herausforderungen</t>
  </si>
  <si>
    <t xml:space="preserve">[Beispiel] Variable, unsichere Ausgangszustände von Altgeräten; fehlende standardisierte Reman-Qualifizierungsangebote; Skalierung über Zielgruppen; Wirtschaftlichkeit.</t>
  </si>
  <si>
    <t xml:space="preserve">B. Intendierte Hauptkompetenzen (Schnittstelle; hier nur Hauptkompetenzen – Teilkompetenzen auf Mesoebene)</t>
  </si>
  <si>
    <t xml:space="preserve">HK1</t>
  </si>
  <si>
    <t xml:space="preserve">[Beispiel] Die Teilnehmenden sind fähig, den Zustand gebrauchter Produkte (Altgeräte/Cores) systematisch zu bewerten und eine begründete Remanufacturing-Entscheidung (Reuse/Reman/Recycle) zu treffen.</t>
  </si>
  <si>
    <t xml:space="preserve">HK2</t>
  </si>
  <si>
    <t xml:space="preserve">[Beispiel] Die Teilnehmenden sind fähig, zerstörungsarme Demontage- und Aufarbeitungsprozesse unter variablen Ausgangsbedingungen zu planen und durchzuführen.</t>
  </si>
  <si>
    <t xml:space="preserve">HK3</t>
  </si>
  <si>
    <t xml:space="preserve">[Beispiel] Die Teilnehmenden sind fähig, Remanufacturing-Prozessketten hinsichtlich Wirtschaftlichkeit und Kreislauffähigkeit zu analysieren und kontinuierlich zu verbessern.</t>
  </si>
  <si>
    <t xml:space="preserve">C. Soziotechnische Infrastruktur (2. didaktische Transformation)</t>
  </si>
  <si>
    <t xml:space="preserve">Systemgrenzen Produktlebenszyklus</t>
  </si>
  <si>
    <t xml:space="preserve">[Beispiel] Fokus: Service – Recycling/Remanufacturing; vorgelagert einbezogen: Produktentwicklung/Design (Design for Remanufacturing) – vgl. Elemente 3.1–3.4, Arbeitsergebnis_01.</t>
  </si>
  <si>
    <t xml:space="preserve">Systemgrenzen Fabrikebenen</t>
  </si>
  <si>
    <t xml:space="preserve">[Beispiel] Station – Zelle – System (modulare Demontage-/Diagnose-/Aufarbeitungsarbeitsplätze); mind. 2 Reifegrade je Ebene: Zustand I (suboptimal, z. B. ungeordnete Befundung) als Ausgangspunkt, Zustand II (Zielzustand) als mögliches Verbesserungsergebnis (vgl. Abb. 4 bei Tisch et al. 2016).</t>
  </si>
  <si>
    <t xml:space="preserve">Produkt</t>
  </si>
  <si>
    <t xml:space="preserve">[Beispiel] Reale Altgeräte (Fremdentwicklung, Stückgut) als authentische Lernobjekte; ergänzend didaktisch präparierte Varianten zur Komplexitätssteuerung (vgl. Produkttypologie bei Tisch et al. 2016 und D5, Arbeitsergebnis_01).</t>
  </si>
  <si>
    <t xml:space="preserve">D. Didaktische Infrastruktur (2. didaktische Transformation)</t>
  </si>
  <si>
    <t xml:space="preserve">Lernprozess-Grundprinzip</t>
  </si>
  <si>
    <t xml:space="preserve">[Beispiel] Wechsel von Denken und Tun; Verzahnung informellen (Handeln, Problemlösen am Altgerät) und formalen Lernens (Systematisierung, Theorie-Konkretisierung) – vgl. Abb. 5 bei Tisch et al. (2016).</t>
  </si>
  <si>
    <t xml:space="preserve">Methodenspektrum</t>
  </si>
  <si>
    <t xml:space="preserve">[Beispiel] Offene, fehlererlaubte Szenarien; Coach-/Moderationsrolle; Projektarbeit und Business-Szenarien; Nähe zur Realität als Auswahlkriterium (vgl. 04_Methodenmorphologie).</t>
  </si>
  <si>
    <t xml:space="preserve">Medien</t>
  </si>
  <si>
    <t xml:space="preserve">[Beispiel] Befundungs-/Reflexionsbögen, digitale Assistenz (Objekterkennung/KI), modulare Lernmodul-Materialien ('Schrank').</t>
  </si>
  <si>
    <t xml:space="preserve">Mesoebene: Kompetenztransformationstabelle (nach Tisch et al. 2016, Tab. 1 und Tab. 7)</t>
  </si>
  <si>
    <t xml:space="preserve">Logik: Intendierte Kompetenz → Teilkompetenz → beobachtbare Handlung (Performanz; mind. eine je Teilkompetenz) → Fachwissen (Was/Wann/Wie) → konzeptuelles Wissen (Warum). Zusatzspalten verknüpfen mit Erpenbeck (Kompetenzklasse) und Bloom (kognitive Stufe/Wissensart). Zeilen 5–10 = eigene [Beispiel]-Entwürfe für den Remanufacturing-Kontext.</t>
  </si>
  <si>
    <t xml:space="preserve">Nr.</t>
  </si>
  <si>
    <t xml:space="preserve">Kompetenzklasse (Erpenbeck)</t>
  </si>
  <si>
    <t xml:space="preserve">Intendierte Kompetenz (Hauptkompetenz)</t>
  </si>
  <si>
    <t xml:space="preserve">Intendierte Teilkompetenz</t>
  </si>
  <si>
    <t xml:space="preserve">Korrespondierende Handlung (Performanz)</t>
  </si>
  <si>
    <t xml:space="preserve">Korrespondierendes Fachwissen</t>
  </si>
  <si>
    <t xml:space="preserve">Korrespondierendes konzeptuelles Wissen</t>
  </si>
  <si>
    <t xml:space="preserve">Bloom-Prozessstufe</t>
  </si>
  <si>
    <t xml:space="preserve">Bloom-Wissensart</t>
  </si>
  <si>
    <t xml:space="preserve">K1.1</t>
  </si>
  <si>
    <t xml:space="preserve">[Beispiel] Fähig, den Zustand von Altgeräten zu bewerten und eine Reman-Entscheidung zu treffen (HK1)</t>
  </si>
  <si>
    <t xml:space="preserve">Fähig, eine systematische Befundung (Sicht-/Funktionsprüfung) eines Altgeräts durchzuführen</t>
  </si>
  <si>
    <t xml:space="preserve">Teilnehmende führen eine Befundung nach Prüfplan durch und dokumentieren den Ist-Zustand</t>
  </si>
  <si>
    <t xml:space="preserve">Prüfkriterien und Befundungsschritte; typische Schadensbilder; Dokumentationsformate</t>
  </si>
  <si>
    <t xml:space="preserve">Warum die Befundungsqualität die Wirtschaftlichkeit der gesamten Reman-Prozesskette bestimmt (Fehlentscheidungskosten)</t>
  </si>
  <si>
    <t xml:space="preserve">K1.2</t>
  </si>
  <si>
    <t xml:space="preserve">HK1 (s. o.)</t>
  </si>
  <si>
    <t xml:space="preserve">Fähig, Reuse-/Reman-/Recycle-Optionen kriteriengeleitet gegeneinander abzuwägen</t>
  </si>
  <si>
    <t xml:space="preserve">Teilnehmende erstellen eine begründete Entscheidungsmatrix für ein konkretes Altgerät</t>
  </si>
  <si>
    <t xml:space="preserve">Entscheidungskriterien (Restwert, Ersatzteilverfügbarkeit, Demontierbarkeit, Nachfrage)</t>
  </si>
  <si>
    <t xml:space="preserve">Warum Entscheidungen unter Unsicherheit heuristische (nicht algorithmische) Problemlösung erfordern (vgl. Erpenbeck &amp; v. Rosenstiel 2007)</t>
  </si>
  <si>
    <t xml:space="preserve">K2.1</t>
  </si>
  <si>
    <t xml:space="preserve">[Beispiel] Fähig, zerstörungsarme Demontage-/Aufarbeitungsprozesse zu planen und durchzuführen (HK2)</t>
  </si>
  <si>
    <t xml:space="preserve">Fähig, eine Demontagesequenz für ein unbekanntes Altgerät zu planen</t>
  </si>
  <si>
    <t xml:space="preserve">Teilnehmende leiten aus Produktstruktur und Befund eine priorisierte Demontagesequenz ab</t>
  </si>
  <si>
    <t xml:space="preserve">Verbindungstechniken und Lösewerkzeuge; Demontage-Vorranggraphen; Arbeitssicherheit</t>
  </si>
  <si>
    <t xml:space="preserve">Warum die Reihenfolge der Demontage Bauteilschädigung und Zeitbedarf beeinflusst</t>
  </si>
  <si>
    <t xml:space="preserve">K2.2</t>
  </si>
  <si>
    <t xml:space="preserve">HK2 (s. o.)</t>
  </si>
  <si>
    <t xml:space="preserve">Fähig, die geplante Demontage unter Zeit- und Qualitätsvorgaben umzusetzen</t>
  </si>
  <si>
    <t xml:space="preserve">Teilnehmende demontieren das Gerät zerstörungsarm und sortieren Komponenten befundgerecht</t>
  </si>
  <si>
    <t xml:space="preserve">Handhabung der Werkzeuge; Sortier-/Kennzeichnungslogik</t>
  </si>
  <si>
    <t xml:space="preserve">Warum konsequente Umsetzung (Willensbahnung) Planung erst wirksam macht – A integriert F/P/S (Erpenbeck &amp; Heyse 2007)</t>
  </si>
  <si>
    <t xml:space="preserve">K3.1</t>
  </si>
  <si>
    <t xml:space="preserve">[Beispiel] Fähig, Reman-Prozessketten hinsichtlich Wirtschaftlichkeit/Kreislauffähigkeit zu analysieren und zu verbessern (HK3)</t>
  </si>
  <si>
    <t xml:space="preserve">Fähig, Zeit- und Kostenanteile der Reman-Prozesskette zu analysieren</t>
  </si>
  <si>
    <t xml:space="preserve">Teilnehmende nehmen Prozesszeiten auf und identifizieren die größten Verlustquellen</t>
  </si>
  <si>
    <t xml:space="preserve">Zeitaufnahmemethoden; Kostenarten im Remanufacturing; Kennzahlen</t>
  </si>
  <si>
    <t xml:space="preserve">Warum variable Ausgangszustände klassische Standardzeit-Logiken begrenzen</t>
  </si>
  <si>
    <t xml:space="preserve">K3.2</t>
  </si>
  <si>
    <t xml:space="preserve">HK3 (s. o.)</t>
  </si>
  <si>
    <t xml:space="preserve">Fähig, Verbesserungsvorschläge im Team zu entwickeln und adressatengerecht zu präsentieren</t>
  </si>
  <si>
    <t xml:space="preserve">Teilnehmende erarbeiten im Team einen Maßnahmenvorschlag und stellen ihn zur Diskussion</t>
  </si>
  <si>
    <t xml:space="preserve">Moderations-/Präsentationstechniken; Feedbackregeln</t>
  </si>
  <si>
    <t xml:space="preserve">Warum Verbesserung in der Fabrik ein kooperativer Aushandlungsprozess ist</t>
  </si>
  <si>
    <t xml:space="preserve">Auswertung:</t>
  </si>
  <si>
    <t xml:space="preserve">Anzahl Teilkompetenzen erfasst</t>
  </si>
  <si>
    <t xml:space="preserve">davon Status 'validiert'</t>
  </si>
  <si>
    <t xml:space="preserve">Mesoebene: Strategien (nach Tisch et al. 2016, Tab. 2, Tab. 3 und Tab. 6)</t>
  </si>
  <si>
    <t xml:space="preserve">Kompetenztransformationsstrategien (Tab. 2)</t>
  </si>
  <si>
    <t xml:space="preserve">Strategie</t>
  </si>
  <si>
    <t xml:space="preserve">Schritte</t>
  </si>
  <si>
    <t xml:space="preserve">Einsatz / Entscheidung in dieser Arbeit</t>
  </si>
  <si>
    <t xml:space="preserve">1 – Von der Kompetenz zum Wissen</t>
  </si>
  <si>
    <t xml:space="preserve">(a) Explikation der Hauptkompetenzen, (b) Ableitung von Teilkompetenzen, (c) Formulierung von Handlungen, (d) Zuordnung der Wissenselemente.</t>
  </si>
  <si>
    <t xml:space="preserve">Idealisierte Strategie mit Zieldefinition als Ausgangspunkt; für neu zu gestaltende Module. [Beispiel] Gewählt für die neuen Reman-Module dieser Arbeit.</t>
  </si>
  <si>
    <t xml:space="preserve">2 – Vom Wissen zur Kompetenz</t>
  </si>
  <si>
    <t xml:space="preserve">(a) Sammlung relevanter Wissenselemente, (b) Formulierung evaluierbarer Handlungen, (c) Rückschluss auf Teilkompetenzen, (d) Aggregation zur Hauptkompetenz.</t>
  </si>
  <si>
    <t xml:space="preserve">Für die Analyse/Revision bestehender Module (konzeptioneller Ist-Schnappschuss).</t>
  </si>
  <si>
    <t xml:space="preserve">3 – Von Handlungen zu Wissen und Kompetenz</t>
  </si>
  <si>
    <t xml:space="preserve">(a) Beobachtung industrierelevanter Handlungen, (b) Rückschluss auf (Teil-)Kompetenzen, Zuordnung der Wissenselemente.</t>
  </si>
  <si>
    <t xml:space="preserve">Wenn Informationen über konkrete relevante Handlungen in der Industrie vorliegen (z. B. aus Experteninterviews).</t>
  </si>
  <si>
    <t xml:space="preserve">Lernprozessstrategien (Tab. 3)</t>
  </si>
  <si>
    <t xml:space="preserve">1 – Problem-Pull</t>
  </si>
  <si>
    <t xml:space="preserve">(a) Problem tritt in realer (simulierter) Situation auf, ggf. erste Lösungsversuche (Exploration), (b) Theorievermittlung (Systematisierung), (c) Problemlösung in realer Umgebung (Test), (d) Diskussion, Feedback, Reflexion.</t>
  </si>
  <si>
    <t xml:space="preserve">Wenn Teilnehmende keine/unzureichende Erfahrung mit dem Problemtyp haben und Motivation erst geweckt werden muss. [Beispiel] Standard für Reman-Einstiegsmodule (Altgerät als 'Problemträger').</t>
  </si>
  <si>
    <t xml:space="preserve">2 – Theory-Push</t>
  </si>
  <si>
    <t xml:space="preserve">(a) Theorievermittlung (Systematisierung), (b) Problemlösung in realer Umgebung (Test), (c) Diskussion, Feedback, Reflexion.</t>
  </si>
  <si>
    <t xml:space="preserve">Wenn Teilnehmende das Problem aus dem eigenen Handlungsfeld kennen und die Relevanz erkannt ist.</t>
  </si>
  <si>
    <t xml:space="preserve">3 – Reflexion zuerst</t>
  </si>
  <si>
    <t xml:space="preserve">(a) Diskussion und Reflexion, (b) Fortsetzung mit Strategie 1 oder 2.</t>
  </si>
  <si>
    <t xml:space="preserve">Wenn Teilnehmende bereits Problemlöseerfahrung im Feld gesammelt haben (z. B. Fachkräfte aus Reman-Betrieben).</t>
  </si>
  <si>
    <t xml:space="preserve">Produktentwicklungsstrategien für die Lernfabrik (Tab. 6)</t>
  </si>
  <si>
    <t xml:space="preserve">1 – Vom Industrieprodukt zum LF-Produkt</t>
  </si>
  <si>
    <t xml:space="preserve">(a) Anforderungen aus intendierten Kompetenzen, Lerninhalten, soziotechnischer Infrastruktur definieren, (b) Informationen zu existierenden Industrieprodukten sammeln, (c) geeignetes Produkt auswählen, (d) ggf. didaktische Anpassung (Komplexitätsreduktion).</t>
  </si>
  <si>
    <t xml:space="preserve">Bei starkem Industriefokus; reales Produkt stützt Authentizität. [Beispiel] Gewählt: reale Altgeräte als Cores.</t>
  </si>
  <si>
    <t xml:space="preserve">2 – Neuentwicklung eines LF-Produkts</t>
  </si>
  <si>
    <t xml:space="preserve">(a) Anforderungsanalyse, (b) notwendige/mögliche/unmögliche Produkteigenschaften ableiten, (c) Ideensammlung, (d) Auswahl und Entwicklungsstart.</t>
  </si>
  <si>
    <t xml:space="preserve">In forschungsorientierten Lernfabriken; Produkt passt exakt zum LF-Konzept.</t>
  </si>
  <si>
    <t xml:space="preserve">Mesoebene: Methodenmorphologie (nach Tisch et al. 2016, Tab. 4 und Abb. 8)</t>
  </si>
  <si>
    <t xml:space="preserve">Bewertungskriterien nach Tab. 4; Ausprägung je Methode grob dreistufig (niedrig/mittel/hoch) per Dropdown. Spalte D 'Vorlesung' ist in Anlehnung an Abb. 8 (Tisch et al. 2016) vorbefüllt [Beispiel]; übrige Methoden sind im Zuge der Arbeit einzuschätzen. Ziel: begründete Methodenauswahl je Lernsituation (Problem-Pull/Theory-Push, Realitätsnähe).</t>
  </si>
  <si>
    <t xml:space="preserve">Cluster</t>
  </si>
  <si>
    <t xml:space="preserve">Kriterium</t>
  </si>
  <si>
    <t xml:space="preserve">Erläuterung (nach Tab. 4)</t>
  </si>
  <si>
    <t xml:space="preserve">Vorlesung</t>
  </si>
  <si>
    <t xml:space="preserve">Demonstration</t>
  </si>
  <si>
    <t xml:space="preserve">Fallstudie</t>
  </si>
  <si>
    <t xml:space="preserve">Simulation/Planspiel</t>
  </si>
  <si>
    <t xml:space="preserve">Projektarbeit</t>
  </si>
  <si>
    <t xml:space="preserve">Lernsituation in der LF</t>
  </si>
  <si>
    <t xml:space="preserve">Beteiligte</t>
  </si>
  <si>
    <t xml:space="preserve">Lehrenden-/Lernenden-Aktivität</t>
  </si>
  <si>
    <t xml:space="preserve">Grad der Aktivität von Lehrperson und Teilnehmenden im Lernarrangement</t>
  </si>
  <si>
    <t xml:space="preserve">Schwerpunkt Lehrperson</t>
  </si>
  <si>
    <t xml:space="preserve">Rolle der Lehrperson</t>
  </si>
  <si>
    <t xml:space="preserve">Rolle im Arrangement (Vortragende:r – Tutor:in – Coach – Mentor:in)</t>
  </si>
  <si>
    <t xml:space="preserve">Vortragende:r</t>
  </si>
  <si>
    <t xml:space="preserve">Lernumgebung</t>
  </si>
  <si>
    <t xml:space="preserve">Realitätsbezug</t>
  </si>
  <si>
    <t xml:space="preserve">Nähe der Lernumgebung zur Realität</t>
  </si>
  <si>
    <t xml:space="preserve">Arbeitsbezug</t>
  </si>
  <si>
    <t xml:space="preserve">Bezug der Handlungen zur tatsächlichen Ausführung im Arbeitsumfeld</t>
  </si>
  <si>
    <t xml:space="preserve">Räumlicher Bezug</t>
  </si>
  <si>
    <t xml:space="preserve">Trennung oder Integration von Lern- und Arbeitsumgebung</t>
  </si>
  <si>
    <t xml:space="preserve">getrennt</t>
  </si>
  <si>
    <t xml:space="preserve">Risiko für Tagesgeschäft</t>
  </si>
  <si>
    <t xml:space="preserve">Risiko der Integration von Lernen und Arbeiten für den laufenden Betrieb</t>
  </si>
  <si>
    <t xml:space="preserve">Prozess</t>
  </si>
  <si>
    <t xml:space="preserve">Art der Lernprozesssteuerung</t>
  </si>
  <si>
    <t xml:space="preserve">Steuerung durch Lernende oder extern</t>
  </si>
  <si>
    <t xml:space="preserve">extern gesteuert</t>
  </si>
  <si>
    <t xml:space="preserve">Transferierbarkeit</t>
  </si>
  <si>
    <t xml:space="preserve">Übertragbarkeit der Lerneffekte in Arbeitsprozesse/-umgebungen</t>
  </si>
  <si>
    <t xml:space="preserve">Inhaltsdichte</t>
  </si>
  <si>
    <t xml:space="preserve">Mögliche Dichte der Lerninhalte in gegebener Zeit</t>
  </si>
  <si>
    <t xml:space="preserve">Ressourcen</t>
  </si>
  <si>
    <t xml:space="preserve">Zeitliche Flexibilität</t>
  </si>
  <si>
    <t xml:space="preserve">Flexibilität hinsichtlich der zeitlichen Abfolge</t>
  </si>
  <si>
    <t xml:space="preserve">Vorbereitungsaufwand</t>
  </si>
  <si>
    <t xml:space="preserve">Kapazitäten für Vorbereitung und Planung</t>
  </si>
  <si>
    <t xml:space="preserve">Materielle Ressourcen</t>
  </si>
  <si>
    <t xml:space="preserve">Umfang benötigter materieller Ressourcen (Arbeitsblätter, Stationen …)</t>
  </si>
  <si>
    <t xml:space="preserve">Räumliche Ressourcen</t>
  </si>
  <si>
    <t xml:space="preserve">Umfang benötigter räumlicher Ressourcen (Plenum, Shopfloor …)</t>
  </si>
  <si>
    <t xml:space="preserve">Personalressourcen</t>
  </si>
  <si>
    <t xml:space="preserve">Umfang benötigten Lehr-/Betreuungspersonals</t>
  </si>
  <si>
    <t xml:space="preserve">Kosten je Teilnehmende:r</t>
  </si>
  <si>
    <t xml:space="preserve">Kosten für Vorbereitung und Durchführung</t>
  </si>
  <si>
    <t xml:space="preserve">Anforderungen an Lehrperson</t>
  </si>
  <si>
    <t xml:space="preserve">Notwendige fachliche und didaktische Fähigkeiten</t>
  </si>
  <si>
    <t xml:space="preserve">Skalierbarkeit</t>
  </si>
  <si>
    <t xml:space="preserve">Skalierbarkeit hinsichtlich Teilnehmendenzahl</t>
  </si>
  <si>
    <t xml:space="preserve">Wiederholbarkeit</t>
  </si>
  <si>
    <t xml:space="preserve">Reproduzierbarkeit von Ablauf und Lerneffekten</t>
  </si>
  <si>
    <t xml:space="preserve">Mikroebene: Steckbrief einer Lernsituation (nach Tisch et al. 2016, Abb. 11 und Tab. 5)</t>
  </si>
  <si>
    <t xml:space="preserve">Vorgehen in 3 Schritten: (1) korrespondierende Handlungen aus 02_Kompetenztransformation identifizieren, (2) Szenario gestalten, in dem diese Handlungen zur Zielerreichung ausgeführt werden müssen, (3) Übungsbeschreibung: nötige Informationen ohne Lösungshilfe. Vorbefüllung [Beispiel]: Explorations-Lernsituation 'Core-Befundung und Reman-Entscheidung'.</t>
  </si>
  <si>
    <t xml:space="preserve">Kopfdaten</t>
  </si>
  <si>
    <t xml:space="preserve">Titel der Lernsituation</t>
  </si>
  <si>
    <t xml:space="preserve">[Beispiel] Core-Befundung und Reman-Entscheidung unter Zeitdruck</t>
  </si>
  <si>
    <t xml:space="preserve">Zugehöriges Lernmodul</t>
  </si>
  <si>
    <t xml:space="preserve">[Beispiel] Grundlagen Remanufacturing (Modul R1)</t>
  </si>
  <si>
    <t xml:space="preserve">Aktivitätstyp</t>
  </si>
  <si>
    <t xml:space="preserve">Adressierte Teilkompetenzen (Nr. aus Blatt 02)</t>
  </si>
  <si>
    <t xml:space="preserve">[Beispiel] K1.1, K1.2</t>
  </si>
  <si>
    <t xml:space="preserve">Zielgruppe / Gruppengröße</t>
  </si>
  <si>
    <t xml:space="preserve">[Beispiel] Bachelor/Fachkräfte; 3 Gruppen à 3–5 Personen</t>
  </si>
  <si>
    <t xml:space="preserve">Dauer</t>
  </si>
  <si>
    <t xml:space="preserve">[Beispiel] ca. 90 min Exploration + 30 min Systematisierung</t>
  </si>
  <si>
    <t xml:space="preserve">Schritt 1 – Handlungen (aus Kompetenztransformation)</t>
  </si>
  <si>
    <t xml:space="preserve">Handlung 1</t>
  </si>
  <si>
    <t xml:space="preserve">[Beispiel] Befundung nach Prüfplan durchführen und Ist-Zustand dokumentieren (K1.1)</t>
  </si>
  <si>
    <t xml:space="preserve">Handlung 2</t>
  </si>
  <si>
    <t xml:space="preserve">[Beispiel] Entscheidungsmatrix Reuse/Reman/Recycle begründet erstellen (K1.2)</t>
  </si>
  <si>
    <t xml:space="preserve">Handlung 3</t>
  </si>
  <si>
    <t xml:space="preserve">Schritt 2 – Szenario</t>
  </si>
  <si>
    <t xml:space="preserve">Ausgangssituation (Zustand I)</t>
  </si>
  <si>
    <t xml:space="preserve">[Beispiel] Drei Altgeräte gleichen Typs in unterschiedlichem, unbekanntem Zustand treffen als Kundenrückläufer ein; keine Vorbefundung vorhanden.</t>
  </si>
  <si>
    <t xml:space="preserve">Ziel-/Problemstellung</t>
  </si>
  <si>
    <t xml:space="preserve">[Beispiel] Entscheiden Sie für jedes Gerät begründet über Reuse, Remanufacturing oder Recycling und bereiten Sie die Übergabe an den Folgeprozess vor.</t>
  </si>
  <si>
    <t xml:space="preserve">Rolle der Lernbegleitung</t>
  </si>
  <si>
    <t xml:space="preserve">[Beispiel] Coach: beobachtet, gibt keine Lösungswege vor, interveniert nur bei Sicherheitsrisiken.</t>
  </si>
  <si>
    <t xml:space="preserve">Schritt 3 – Übungsbeschreibung (an Teilnehmende)</t>
  </si>
  <si>
    <t xml:space="preserve">Setting</t>
  </si>
  <si>
    <t xml:space="preserve">[Beispiel] Demontage-/Diagnosearbeitsplatz; Prüfmittel; Befundungsbogen; Zeitbudget 60 min</t>
  </si>
  <si>
    <t xml:space="preserve">Zusatzinformationen</t>
  </si>
  <si>
    <t xml:space="preserve">[Beispiel] Ersatzteilpreise und Marktpreise aufbereiteter Geräte als Datenblatt; 1 Schicht/Tag Kontext</t>
  </si>
  <si>
    <t xml:space="preserve">Erwartetes Ergebnisformat</t>
  </si>
  <si>
    <t xml:space="preserve">[Beispiel] Dokumentierte Befundung + Entscheidungsmatrix + 5-min-Kurzpräsentation</t>
  </si>
  <si>
    <t xml:space="preserve">Methodische Modellierung (Tab. 5)</t>
  </si>
  <si>
    <t xml:space="preserve">Kontextualisierung</t>
  </si>
  <si>
    <t xml:space="preserve">[Beispiel] Einbettung in die technologische Infrastruktur des RePAIR-Labors; reale Altgeräte als Anwendungskontext.</t>
  </si>
  <si>
    <t xml:space="preserve">Aktivierung</t>
  </si>
  <si>
    <t xml:space="preserve">[Beispiel] Wechsel von Explorations- und Systematisierungsaktivitäten; Methodenwahl gem. Blatt 04.</t>
  </si>
  <si>
    <t xml:space="preserve">Problemlösen</t>
  </si>
  <si>
    <t xml:space="preserve">[Beispiel] Vollständige Handlung: Planen – Ausführen – Bewerten als geschlossener Regelkreis.</t>
  </si>
  <si>
    <t xml:space="preserve">Motivation</t>
  </si>
  <si>
    <t xml:space="preserve">[Beispiel] Realitätscharakter (Interesse), unmittelbares Handeln (Handlungsmotivation), passendes Anspruchsniveau (Leistungsmotivation), Feedback (Lernmotivation).</t>
  </si>
  <si>
    <t xml:space="preserve">Kollektivierung</t>
  </si>
  <si>
    <t xml:space="preserve">[Beispiel] Gruppenarbeit: aufgabenbezogen belastbarer, realitätsnah zu betrieblichen Arbeitssituationen.</t>
  </si>
  <si>
    <t xml:space="preserve">Systematisierung / Reflexion</t>
  </si>
  <si>
    <t xml:space="preserve">Reflexionsleitfragen</t>
  </si>
  <si>
    <t xml:space="preserve">[Beispiel] Welche Kriterien haben Ihre Entscheidung dominiert? Wo waren Sie unsicher – und warum? Was würde sich bei 10-facher Stückzahl ändern?</t>
  </si>
  <si>
    <t xml:space="preserve">Theorie-Konkretisierung</t>
  </si>
  <si>
    <t xml:space="preserve">[Beispiel] Explikation unbewusster Routinen; Verallgemeinerung der Befundlogik; Anschluss an Wissenselemente aus Blatt 02.</t>
  </si>
  <si>
    <t xml:space="preserve">Evaluation der Lernzielerreichung (in Anlehnung an Tisch et al. 2016, Abschn. 5.2 und Tab. 8)</t>
  </si>
  <si>
    <t xml:space="preserve">Teil A: Semistrukturierter Beobachtungsbogen auf Basis der Kompetenztransformationstabelle – Indikatoren Selbstständigkeit, Herleitung, Aktivität, Ergebnis (0 = nicht erfüllt, 1 = teilweise, 2 = erfüllt). Ergänzend Fachgespräch zur Begründung der Handlungen (konzeptuelles Wissen). Teil B: Vergleichsraster Lernzielerreichung über mehrere Durchläufe (analog Tab. 8).</t>
  </si>
  <si>
    <t xml:space="preserve">Teil A – Beobachtungsbogen je Gruppe (Punkte 0–2)</t>
  </si>
  <si>
    <t xml:space="preserve">Nr. (Blatt 02)</t>
  </si>
  <si>
    <t xml:space="preserve">Beobachtete Handlung (Performanz)</t>
  </si>
  <si>
    <t xml:space="preserve">Indikator</t>
  </si>
  <si>
    <t xml:space="preserve">Gruppe 1</t>
  </si>
  <si>
    <t xml:space="preserve">Gruppe 2</t>
  </si>
  <si>
    <t xml:space="preserve">Gruppe 3</t>
  </si>
  <si>
    <t xml:space="preserve">Mittelwert</t>
  </si>
  <si>
    <t xml:space="preserve">Notizen / Fachgespräch (Warum?)</t>
  </si>
  <si>
    <t xml:space="preserve">[Beispiel] Befundung nach Prüfplan durchführen und dokumentieren</t>
  </si>
  <si>
    <t xml:space="preserve">Selbstständigkeit</t>
  </si>
  <si>
    <t xml:space="preserve">Herleitung</t>
  </si>
  <si>
    <t xml:space="preserve">Aktivität</t>
  </si>
  <si>
    <t xml:space="preserve">Ergebnis</t>
  </si>
  <si>
    <t xml:space="preserve">Zwischenergebnis K1.1 (Erfüllungsgrad in %)</t>
  </si>
  <si>
    <t xml:space="preserve">[Beispiel] Entscheidungsmatrix begründet erstellen</t>
  </si>
  <si>
    <t xml:space="preserve">Zwischenergebnis K1.2 (Erfüllungsgrad in %)</t>
  </si>
  <si>
    <t xml:space="preserve">Teil B – Vergleich der Lernzielerreichung über Durchläufe (analog Tab. 8; Werte in %, als Dezimalzahl eintragen)</t>
  </si>
  <si>
    <t xml:space="preserve">Lernziel</t>
  </si>
  <si>
    <t xml:space="preserve">Modulvariante</t>
  </si>
  <si>
    <t xml:space="preserve">Durchlauf I</t>
  </si>
  <si>
    <t xml:space="preserve">Durchlauf II</t>
  </si>
  <si>
    <t xml:space="preserve">Durchlauf III</t>
  </si>
  <si>
    <t xml:space="preserve">[Beispiel] Fähigkeit, Reman-Entscheidungen zu konzipieren</t>
  </si>
  <si>
    <t xml:space="preserve">intuitiv gestaltet</t>
  </si>
  <si>
    <t xml:space="preserve">systematisch (re-)gestaltet</t>
  </si>
  <si>
    <t xml:space="preserve">[Beispiel] Fähigkeit, Demontageprozesse umzusetzen</t>
  </si>
  <si>
    <t xml:space="preserve">Hinweis: Blaue Zellen = Eingabewerte (Anteil erreichter Punkte). Bei Tisch et al. (2016) zeigte das systematisch regestaltete Modul 'flexible Montagesysteme' deutlich höhere Zielerreichungsgrade als das intuitiv gestaltete – dieses Raster überträgt die Vergleichslogik auf die eigenen Reman-Module.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</si>
</sst>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F2F6FB"/>
      </patternFill>
    </fill>
    <fill>
      <patternFill patternType="solid">
        <fgColor rgb="FF2E5B9F"/>
        <bgColor rgb="FF333399"/>
      </patternFill>
    </fill>
    <fill>
      <patternFill patternType="solid">
        <fgColor rgb="FFF2F6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6FB"/>
      <rgbColor rgb="FFDCE6F1"/>
      <rgbColor rgb="FF660066"/>
      <rgbColor rgb="FFFF8080"/>
      <rgbColor rgb="FF2E5B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55"/>
  </cols>
  <sheetData>
    <row r="1" customFormat="false" ht="31.5" hidden="false" customHeight="true" outlineLevel="0" collapsed="false">
      <c r="B1" s="1" t="s">
        <v>0</v>
      </c>
      <c r="C1" s="1"/>
      <c r="D1" s="1"/>
    </row>
    <row r="2" customFormat="false" ht="43.5" hidden="false" customHeight="true" outlineLevel="0" collapsed="false">
      <c r="B2" s="2" t="s">
        <v>1</v>
      </c>
      <c r="C2" s="2"/>
      <c r="D2" s="2"/>
    </row>
    <row r="4" customFormat="false" ht="15" hidden="false" customHeight="false" outlineLevel="0" collapsed="false">
      <c r="B4" s="3" t="s">
        <v>2</v>
      </c>
      <c r="C4" s="3" t="s">
        <v>3</v>
      </c>
      <c r="D4" s="3" t="s">
        <v>4</v>
      </c>
    </row>
    <row r="5" customFormat="false" ht="57.75" hidden="false" customHeight="true" outlineLevel="0" collapsed="false">
      <c r="B5" s="4" t="s">
        <v>5</v>
      </c>
      <c r="C5" s="5" t="s">
        <v>6</v>
      </c>
      <c r="D5" s="5" t="s">
        <v>7</v>
      </c>
    </row>
    <row r="6" customFormat="false" ht="57.75" hidden="false" customHeight="true" outlineLevel="0" collapsed="false">
      <c r="B6" s="4" t="s">
        <v>8</v>
      </c>
      <c r="C6" s="5" t="s">
        <v>9</v>
      </c>
      <c r="D6" s="5" t="s">
        <v>10</v>
      </c>
    </row>
    <row r="7" customFormat="false" ht="57.75" hidden="false" customHeight="true" outlineLevel="0" collapsed="false">
      <c r="B7" s="4" t="s">
        <v>11</v>
      </c>
      <c r="C7" s="5" t="s">
        <v>12</v>
      </c>
      <c r="D7" s="5" t="s">
        <v>13</v>
      </c>
    </row>
    <row r="8" customFormat="false" ht="57.75" hidden="false" customHeight="true" outlineLevel="0" collapsed="false">
      <c r="B8" s="4" t="s">
        <v>14</v>
      </c>
      <c r="C8" s="5" t="s">
        <v>15</v>
      </c>
      <c r="D8" s="5" t="s">
        <v>16</v>
      </c>
    </row>
    <row r="10" customFormat="false" ht="15" hidden="false" customHeight="true" outlineLevel="0" collapsed="false">
      <c r="B10" s="6" t="s">
        <v>17</v>
      </c>
      <c r="C10" s="6"/>
      <c r="D10" s="6"/>
    </row>
    <row r="11" customFormat="false" ht="15" hidden="false" customHeight="false" outlineLevel="0" collapsed="false">
      <c r="B11" s="3" t="s">
        <v>18</v>
      </c>
      <c r="C11" s="3" t="s">
        <v>19</v>
      </c>
    </row>
    <row r="12" customFormat="false" ht="43.5" hidden="false" customHeight="true" outlineLevel="0" collapsed="false">
      <c r="B12" s="4" t="s">
        <v>20</v>
      </c>
      <c r="C12" s="7" t="s">
        <v>21</v>
      </c>
      <c r="D12" s="7"/>
    </row>
    <row r="13" customFormat="false" ht="43.5" hidden="false" customHeight="true" outlineLevel="0" collapsed="false">
      <c r="B13" s="4" t="s">
        <v>22</v>
      </c>
      <c r="C13" s="7" t="s">
        <v>23</v>
      </c>
      <c r="D13" s="7"/>
    </row>
    <row r="14" customFormat="false" ht="43.5" hidden="false" customHeight="true" outlineLevel="0" collapsed="false">
      <c r="B14" s="4" t="s">
        <v>24</v>
      </c>
      <c r="C14" s="7" t="s">
        <v>25</v>
      </c>
      <c r="D14" s="7"/>
    </row>
    <row r="15" customFormat="false" ht="43.5" hidden="false" customHeight="true" outlineLevel="0" collapsed="false">
      <c r="B15" s="4" t="s">
        <v>26</v>
      </c>
      <c r="C15" s="7" t="s">
        <v>27</v>
      </c>
      <c r="D15" s="7"/>
    </row>
    <row r="17" customFormat="false" ht="22.35" hidden="false" customHeight="true" outlineLevel="0" collapsed="false">
      <c r="B17" s="2" t="s">
        <v>28</v>
      </c>
      <c r="C17" s="2"/>
      <c r="D17" s="2"/>
    </row>
  </sheetData>
  <mergeCells count="8">
    <mergeCell ref="B1:D1"/>
    <mergeCell ref="B2:D2"/>
    <mergeCell ref="B10:D10"/>
    <mergeCell ref="C12:D12"/>
    <mergeCell ref="C13:D13"/>
    <mergeCell ref="C14:D14"/>
    <mergeCell ref="C15:D15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34"/>
  </cols>
  <sheetData>
    <row r="1" customFormat="false" ht="15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</row>
    <row r="2" customFormat="false" ht="15" hidden="false" customHeight="false" outlineLevel="0" collapsed="false">
      <c r="A2" s="9" t="s">
        <v>37</v>
      </c>
      <c r="B2" s="9" t="s">
        <v>38</v>
      </c>
      <c r="C2" s="9" t="s">
        <v>39</v>
      </c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</row>
    <row r="3" customFormat="false" ht="15" hidden="false" customHeight="false" outlineLevel="0" collapsed="false">
      <c r="A3" s="9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</row>
    <row r="4" customFormat="false" ht="15" hidden="false" customHeight="false" outlineLevel="0" collapsed="false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</row>
    <row r="5" customFormat="false" ht="15" hidden="false" customHeight="false" outlineLevel="0" collapsed="false">
      <c r="A5" s="9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G5" s="9" t="s">
        <v>66</v>
      </c>
    </row>
    <row r="6" customFormat="false" ht="15" hidden="false" customHeight="false" outlineLevel="0" collapsed="false">
      <c r="B6" s="9" t="s">
        <v>67</v>
      </c>
    </row>
    <row r="7" customFormat="false" ht="15" hidden="false" customHeight="false" outlineLevel="0" collapsed="false">
      <c r="B7" s="9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25.5" hidden="false" customHeight="true" outlineLevel="0" collapsed="false">
      <c r="B1" s="1" t="s">
        <v>69</v>
      </c>
      <c r="C1" s="1"/>
      <c r="D1" s="1"/>
    </row>
    <row r="2" customFormat="false" ht="30" hidden="false" customHeight="true" outlineLevel="0" collapsed="false">
      <c r="B2" s="2" t="s">
        <v>70</v>
      </c>
      <c r="C2" s="2"/>
      <c r="D2" s="2"/>
    </row>
    <row r="4" customFormat="false" ht="15" hidden="false" customHeight="true" outlineLevel="0" collapsed="false">
      <c r="B4" s="6" t="s">
        <v>71</v>
      </c>
      <c r="C4" s="6"/>
      <c r="D4" s="6"/>
    </row>
    <row r="5" customFormat="false" ht="15" hidden="false" customHeight="false" outlineLevel="0" collapsed="false">
      <c r="B5" s="3" t="s">
        <v>72</v>
      </c>
      <c r="C5" s="3" t="s">
        <v>73</v>
      </c>
      <c r="D5" s="3" t="s">
        <v>74</v>
      </c>
    </row>
    <row r="6" customFormat="false" ht="51.75" hidden="false" customHeight="true" outlineLevel="0" collapsed="false">
      <c r="B6" s="4" t="s">
        <v>75</v>
      </c>
      <c r="C6" s="5" t="s">
        <v>76</v>
      </c>
      <c r="D6" s="10" t="s">
        <v>77</v>
      </c>
    </row>
    <row r="7" customFormat="false" ht="51.75" hidden="false" customHeight="true" outlineLevel="0" collapsed="false">
      <c r="B7" s="4" t="s">
        <v>78</v>
      </c>
      <c r="C7" s="5" t="s">
        <v>79</v>
      </c>
      <c r="D7" s="10" t="s">
        <v>77</v>
      </c>
    </row>
    <row r="8" customFormat="false" ht="51.75" hidden="false" customHeight="true" outlineLevel="0" collapsed="false">
      <c r="B8" s="4" t="s">
        <v>80</v>
      </c>
      <c r="C8" s="5" t="s">
        <v>81</v>
      </c>
      <c r="D8" s="10" t="s">
        <v>77</v>
      </c>
    </row>
    <row r="9" customFormat="false" ht="51.75" hidden="false" customHeight="true" outlineLevel="0" collapsed="false">
      <c r="B9" s="4" t="s">
        <v>82</v>
      </c>
      <c r="C9" s="5" t="s">
        <v>83</v>
      </c>
      <c r="D9" s="10" t="s">
        <v>77</v>
      </c>
    </row>
    <row r="11" customFormat="false" ht="15" hidden="false" customHeight="true" outlineLevel="0" collapsed="false">
      <c r="B11" s="6" t="s">
        <v>84</v>
      </c>
      <c r="C11" s="6"/>
      <c r="D11" s="6"/>
    </row>
    <row r="12" customFormat="false" ht="15" hidden="false" customHeight="false" outlineLevel="0" collapsed="false">
      <c r="B12" s="3" t="s">
        <v>72</v>
      </c>
      <c r="C12" s="3" t="s">
        <v>73</v>
      </c>
      <c r="D12" s="3" t="s">
        <v>74</v>
      </c>
    </row>
    <row r="13" customFormat="false" ht="51.75" hidden="false" customHeight="true" outlineLevel="0" collapsed="false">
      <c r="B13" s="4" t="s">
        <v>85</v>
      </c>
      <c r="C13" s="5" t="s">
        <v>86</v>
      </c>
      <c r="D13" s="10" t="s">
        <v>77</v>
      </c>
    </row>
    <row r="14" customFormat="false" ht="51.75" hidden="false" customHeight="true" outlineLevel="0" collapsed="false">
      <c r="B14" s="4" t="s">
        <v>87</v>
      </c>
      <c r="C14" s="5" t="s">
        <v>88</v>
      </c>
      <c r="D14" s="10" t="s">
        <v>77</v>
      </c>
    </row>
    <row r="15" customFormat="false" ht="51.75" hidden="false" customHeight="true" outlineLevel="0" collapsed="false">
      <c r="B15" s="4" t="s">
        <v>89</v>
      </c>
      <c r="C15" s="5" t="s">
        <v>90</v>
      </c>
      <c r="D15" s="10" t="s">
        <v>77</v>
      </c>
    </row>
    <row r="17" customFormat="false" ht="15" hidden="false" customHeight="true" outlineLevel="0" collapsed="false">
      <c r="B17" s="6" t="s">
        <v>91</v>
      </c>
      <c r="C17" s="6"/>
      <c r="D17" s="6"/>
    </row>
    <row r="18" customFormat="false" ht="15" hidden="false" customHeight="false" outlineLevel="0" collapsed="false">
      <c r="B18" s="3" t="s">
        <v>72</v>
      </c>
      <c r="C18" s="3" t="s">
        <v>73</v>
      </c>
      <c r="D18" s="3" t="s">
        <v>74</v>
      </c>
    </row>
    <row r="19" customFormat="false" ht="51.75" hidden="false" customHeight="true" outlineLevel="0" collapsed="false">
      <c r="B19" s="4" t="s">
        <v>92</v>
      </c>
      <c r="C19" s="5" t="s">
        <v>93</v>
      </c>
      <c r="D19" s="10" t="s">
        <v>77</v>
      </c>
    </row>
    <row r="20" customFormat="false" ht="51.75" hidden="false" customHeight="true" outlineLevel="0" collapsed="false">
      <c r="B20" s="4" t="s">
        <v>94</v>
      </c>
      <c r="C20" s="5" t="s">
        <v>95</v>
      </c>
      <c r="D20" s="10" t="s">
        <v>77</v>
      </c>
    </row>
    <row r="21" customFormat="false" ht="51.75" hidden="false" customHeight="true" outlineLevel="0" collapsed="false">
      <c r="B21" s="4" t="s">
        <v>96</v>
      </c>
      <c r="C21" s="5" t="s">
        <v>97</v>
      </c>
      <c r="D21" s="10" t="s">
        <v>77</v>
      </c>
    </row>
    <row r="23" customFormat="false" ht="15" hidden="false" customHeight="true" outlineLevel="0" collapsed="false">
      <c r="B23" s="6" t="s">
        <v>98</v>
      </c>
      <c r="C23" s="6"/>
      <c r="D23" s="6"/>
    </row>
    <row r="24" customFormat="false" ht="15" hidden="false" customHeight="false" outlineLevel="0" collapsed="false">
      <c r="B24" s="3" t="s">
        <v>72</v>
      </c>
      <c r="C24" s="3" t="s">
        <v>73</v>
      </c>
      <c r="D24" s="3" t="s">
        <v>74</v>
      </c>
    </row>
    <row r="25" customFormat="false" ht="51.75" hidden="false" customHeight="true" outlineLevel="0" collapsed="false">
      <c r="B25" s="4" t="s">
        <v>99</v>
      </c>
      <c r="C25" s="5" t="s">
        <v>100</v>
      </c>
      <c r="D25" s="10" t="s">
        <v>77</v>
      </c>
    </row>
    <row r="26" customFormat="false" ht="51.75" hidden="false" customHeight="true" outlineLevel="0" collapsed="false">
      <c r="B26" s="4" t="s">
        <v>101</v>
      </c>
      <c r="C26" s="5" t="s">
        <v>102</v>
      </c>
      <c r="D26" s="10" t="s">
        <v>77</v>
      </c>
    </row>
    <row r="27" customFormat="false" ht="51.75" hidden="false" customHeight="true" outlineLevel="0" collapsed="false">
      <c r="B27" s="4" t="s">
        <v>103</v>
      </c>
      <c r="C27" s="5" t="s">
        <v>104</v>
      </c>
      <c r="D27" s="10" t="s">
        <v>77</v>
      </c>
    </row>
  </sheetData>
  <mergeCells count="6">
    <mergeCell ref="B1:D1"/>
    <mergeCell ref="B2:D2"/>
    <mergeCell ref="B4:D4"/>
    <mergeCell ref="B11:D11"/>
    <mergeCell ref="B17:D17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8"/>
    <col collapsed="false" customWidth="true" hidden="false" outlineLevel="0" max="7" min="5" style="0" width="40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75" hidden="false" customHeight="true" outlineLevel="0" collapsed="false">
      <c r="A4" s="3" t="s">
        <v>107</v>
      </c>
      <c r="B4" s="3" t="s">
        <v>108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 t="s">
        <v>32</v>
      </c>
    </row>
    <row r="5" customFormat="false" ht="67.5" hidden="false" customHeight="true" outlineLevel="0" collapsed="false">
      <c r="A5" s="5" t="s">
        <v>116</v>
      </c>
      <c r="B5" s="5" t="s">
        <v>37</v>
      </c>
      <c r="C5" s="5" t="s">
        <v>117</v>
      </c>
      <c r="D5" s="5" t="s">
        <v>118</v>
      </c>
      <c r="E5" s="5" t="s">
        <v>119</v>
      </c>
      <c r="F5" s="5" t="s">
        <v>120</v>
      </c>
      <c r="G5" s="5" t="s">
        <v>121</v>
      </c>
      <c r="H5" s="5" t="s">
        <v>54</v>
      </c>
      <c r="I5" s="5" t="s">
        <v>55</v>
      </c>
      <c r="J5" s="5" t="s">
        <v>40</v>
      </c>
    </row>
    <row r="6" customFormat="false" ht="67.5" hidden="false" customHeight="true" outlineLevel="0" collapsed="false">
      <c r="A6" s="5" t="s">
        <v>122</v>
      </c>
      <c r="B6" s="5" t="s">
        <v>37</v>
      </c>
      <c r="C6" s="5" t="s">
        <v>123</v>
      </c>
      <c r="D6" s="5" t="s">
        <v>124</v>
      </c>
      <c r="E6" s="5" t="s">
        <v>125</v>
      </c>
      <c r="F6" s="5" t="s">
        <v>126</v>
      </c>
      <c r="G6" s="5" t="s">
        <v>127</v>
      </c>
      <c r="H6" s="5" t="s">
        <v>67</v>
      </c>
      <c r="I6" s="5" t="s">
        <v>47</v>
      </c>
      <c r="J6" s="5" t="s">
        <v>40</v>
      </c>
    </row>
    <row r="7" customFormat="false" ht="67.5" hidden="false" customHeight="true" outlineLevel="0" collapsed="false">
      <c r="A7" s="5" t="s">
        <v>128</v>
      </c>
      <c r="B7" s="5" t="s">
        <v>37</v>
      </c>
      <c r="C7" s="5" t="s">
        <v>129</v>
      </c>
      <c r="D7" s="5" t="s">
        <v>130</v>
      </c>
      <c r="E7" s="5" t="s">
        <v>131</v>
      </c>
      <c r="F7" s="5" t="s">
        <v>132</v>
      </c>
      <c r="G7" s="5" t="s">
        <v>133</v>
      </c>
      <c r="H7" s="5" t="s">
        <v>68</v>
      </c>
      <c r="I7" s="5" t="s">
        <v>55</v>
      </c>
      <c r="J7" s="5" t="s">
        <v>40</v>
      </c>
    </row>
    <row r="8" customFormat="false" ht="67.5" hidden="false" customHeight="true" outlineLevel="0" collapsed="false">
      <c r="A8" s="5" t="s">
        <v>134</v>
      </c>
      <c r="B8" s="5" t="s">
        <v>61</v>
      </c>
      <c r="C8" s="5" t="s">
        <v>135</v>
      </c>
      <c r="D8" s="5" t="s">
        <v>136</v>
      </c>
      <c r="E8" s="5" t="s">
        <v>137</v>
      </c>
      <c r="F8" s="5" t="s">
        <v>138</v>
      </c>
      <c r="G8" s="5" t="s">
        <v>139</v>
      </c>
      <c r="H8" s="5" t="s">
        <v>54</v>
      </c>
      <c r="I8" s="5" t="s">
        <v>55</v>
      </c>
      <c r="J8" s="5" t="s">
        <v>40</v>
      </c>
    </row>
    <row r="9" customFormat="false" ht="67.5" hidden="false" customHeight="true" outlineLevel="0" collapsed="false">
      <c r="A9" s="5" t="s">
        <v>140</v>
      </c>
      <c r="B9" s="5" t="s">
        <v>37</v>
      </c>
      <c r="C9" s="5" t="s">
        <v>141</v>
      </c>
      <c r="D9" s="5" t="s">
        <v>142</v>
      </c>
      <c r="E9" s="5" t="s">
        <v>143</v>
      </c>
      <c r="F9" s="5" t="s">
        <v>144</v>
      </c>
      <c r="G9" s="5" t="s">
        <v>145</v>
      </c>
      <c r="H9" s="5" t="s">
        <v>62</v>
      </c>
      <c r="I9" s="5" t="s">
        <v>47</v>
      </c>
      <c r="J9" s="5" t="s">
        <v>40</v>
      </c>
    </row>
    <row r="10" customFormat="false" ht="67.5" hidden="false" customHeight="true" outlineLevel="0" collapsed="false">
      <c r="A10" s="5" t="s">
        <v>146</v>
      </c>
      <c r="B10" s="5" t="s">
        <v>45</v>
      </c>
      <c r="C10" s="5" t="s">
        <v>147</v>
      </c>
      <c r="D10" s="5" t="s">
        <v>148</v>
      </c>
      <c r="E10" s="5" t="s">
        <v>149</v>
      </c>
      <c r="F10" s="5" t="s">
        <v>150</v>
      </c>
      <c r="G10" s="5" t="s">
        <v>151</v>
      </c>
      <c r="H10" s="5" t="s">
        <v>68</v>
      </c>
      <c r="I10" s="5" t="s">
        <v>47</v>
      </c>
      <c r="J10" s="5" t="s">
        <v>40</v>
      </c>
    </row>
    <row r="11" customFormat="false" ht="39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39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39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39.75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39.75" hidden="false" customHeight="tru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39.75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39.7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39.7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39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39.75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39.7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39.7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customFormat="false" ht="39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customFormat="false" ht="39.75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</row>
    <row r="26" customFormat="false" ht="15" hidden="false" customHeight="false" outlineLevel="0" collapsed="false">
      <c r="A26" s="11" t="s">
        <v>152</v>
      </c>
      <c r="B26" s="12" t="s">
        <v>153</v>
      </c>
      <c r="C26" s="13" t="n">
        <f aca="false">COUNTA(D5:D24)</f>
        <v>6</v>
      </c>
    </row>
    <row r="27" customFormat="false" ht="15" hidden="false" customHeight="false" outlineLevel="0" collapsed="false">
      <c r="B27" s="12" t="s">
        <v>154</v>
      </c>
      <c r="C27" s="13" t="n">
        <f aca="false">COUNTIF(J5:J24,"validiert")</f>
        <v>0</v>
      </c>
    </row>
  </sheetData>
  <mergeCells count="2">
    <mergeCell ref="A1:J1"/>
    <mergeCell ref="A2:J2"/>
  </mergeCells>
  <dataValidations count="4">
    <dataValidation allowBlank="true" errorStyle="stop" operator="between" showDropDown="false" showErrorMessage="false" showInputMessage="false" sqref="B5:B24" type="list">
      <formula1>LISTEN!$A$2:$A$5</formula1>
      <formula2>0</formula2>
    </dataValidation>
    <dataValidation allowBlank="true" errorStyle="stop" operator="between" showDropDown="false" showErrorMessage="false" showInputMessage="false" sqref="H5:H24" type="list">
      <formula1>LISTEN!$B$2:$B$7</formula1>
      <formula2>0</formula2>
    </dataValidation>
    <dataValidation allowBlank="true" errorStyle="stop" operator="between" showDropDown="false" showErrorMessage="false" showInputMessage="false" sqref="I5:I24" type="list">
      <formula1>LISTEN!$C$2:$C$5</formula1>
      <formula2>0</formula2>
    </dataValidation>
    <dataValidation allowBlank="true" errorStyle="stop" operator="between" showDropDown="false" showErrorMessage="false" showInputMessage="false" sqref="J5:J24" type="list">
      <formula1>LISTEN!$D$2:$D$5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52"/>
  </cols>
  <sheetData>
    <row r="1" customFormat="false" ht="25.5" hidden="false" customHeight="true" outlineLevel="0" collapsed="false">
      <c r="B1" s="1" t="s">
        <v>155</v>
      </c>
      <c r="C1" s="1"/>
      <c r="D1" s="1"/>
    </row>
    <row r="3" customFormat="false" ht="15" hidden="false" customHeight="true" outlineLevel="0" collapsed="false">
      <c r="B3" s="6" t="s">
        <v>156</v>
      </c>
      <c r="C3" s="6"/>
      <c r="D3" s="6"/>
    </row>
    <row r="4" customFormat="false" ht="15" hidden="false" customHeight="false" outlineLevel="0" collapsed="false">
      <c r="B4" s="3" t="s">
        <v>157</v>
      </c>
      <c r="C4" s="3" t="s">
        <v>158</v>
      </c>
      <c r="D4" s="3" t="s">
        <v>159</v>
      </c>
    </row>
    <row r="5" customFormat="false" ht="61.5" hidden="false" customHeight="true" outlineLevel="0" collapsed="false">
      <c r="B5" s="4" t="s">
        <v>160</v>
      </c>
      <c r="C5" s="5" t="s">
        <v>161</v>
      </c>
      <c r="D5" s="5" t="s">
        <v>162</v>
      </c>
    </row>
    <row r="6" customFormat="false" ht="61.5" hidden="false" customHeight="true" outlineLevel="0" collapsed="false">
      <c r="B6" s="4" t="s">
        <v>163</v>
      </c>
      <c r="C6" s="5" t="s">
        <v>164</v>
      </c>
      <c r="D6" s="5" t="s">
        <v>165</v>
      </c>
    </row>
    <row r="7" customFormat="false" ht="61.5" hidden="false" customHeight="true" outlineLevel="0" collapsed="false">
      <c r="B7" s="4" t="s">
        <v>166</v>
      </c>
      <c r="C7" s="5" t="s">
        <v>167</v>
      </c>
      <c r="D7" s="5" t="s">
        <v>168</v>
      </c>
    </row>
    <row r="9" customFormat="false" ht="15" hidden="false" customHeight="true" outlineLevel="0" collapsed="false">
      <c r="B9" s="6" t="s">
        <v>169</v>
      </c>
      <c r="C9" s="6"/>
      <c r="D9" s="6"/>
    </row>
    <row r="10" customFormat="false" ht="15" hidden="false" customHeight="false" outlineLevel="0" collapsed="false">
      <c r="B10" s="3" t="s">
        <v>157</v>
      </c>
      <c r="C10" s="3" t="s">
        <v>158</v>
      </c>
      <c r="D10" s="3" t="s">
        <v>159</v>
      </c>
    </row>
    <row r="11" customFormat="false" ht="61.5" hidden="false" customHeight="true" outlineLevel="0" collapsed="false">
      <c r="B11" s="4" t="s">
        <v>170</v>
      </c>
      <c r="C11" s="5" t="s">
        <v>171</v>
      </c>
      <c r="D11" s="5" t="s">
        <v>172</v>
      </c>
    </row>
    <row r="12" customFormat="false" ht="61.5" hidden="false" customHeight="true" outlineLevel="0" collapsed="false">
      <c r="B12" s="4" t="s">
        <v>173</v>
      </c>
      <c r="C12" s="5" t="s">
        <v>174</v>
      </c>
      <c r="D12" s="5" t="s">
        <v>175</v>
      </c>
    </row>
    <row r="13" customFormat="false" ht="61.5" hidden="false" customHeight="true" outlineLevel="0" collapsed="false">
      <c r="B13" s="4" t="s">
        <v>176</v>
      </c>
      <c r="C13" s="5" t="s">
        <v>177</v>
      </c>
      <c r="D13" s="5" t="s">
        <v>178</v>
      </c>
    </row>
    <row r="15" customFormat="false" ht="15" hidden="false" customHeight="true" outlineLevel="0" collapsed="false">
      <c r="B15" s="6" t="s">
        <v>179</v>
      </c>
      <c r="C15" s="6"/>
      <c r="D15" s="6"/>
    </row>
    <row r="16" customFormat="false" ht="15" hidden="false" customHeight="false" outlineLevel="0" collapsed="false">
      <c r="B16" s="3" t="s">
        <v>157</v>
      </c>
      <c r="C16" s="3" t="s">
        <v>158</v>
      </c>
      <c r="D16" s="3" t="s">
        <v>159</v>
      </c>
    </row>
    <row r="17" customFormat="false" ht="61.5" hidden="false" customHeight="true" outlineLevel="0" collapsed="false">
      <c r="B17" s="4" t="s">
        <v>180</v>
      </c>
      <c r="C17" s="5" t="s">
        <v>181</v>
      </c>
      <c r="D17" s="5" t="s">
        <v>182</v>
      </c>
    </row>
    <row r="18" customFormat="false" ht="61.5" hidden="false" customHeight="true" outlineLevel="0" collapsed="false">
      <c r="B18" s="4" t="s">
        <v>183</v>
      </c>
      <c r="C18" s="5" t="s">
        <v>184</v>
      </c>
      <c r="D18" s="5" t="s">
        <v>185</v>
      </c>
    </row>
  </sheetData>
  <mergeCells count="4">
    <mergeCell ref="B1:D1"/>
    <mergeCell ref="B3:D3"/>
    <mergeCell ref="B9:D9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9" min="4" style="0" width="20"/>
  </cols>
  <sheetData>
    <row r="1" customFormat="false" ht="25.5" hidden="false" customHeight="true" outlineLevel="0" collapsed="false">
      <c r="A1" s="1" t="s">
        <v>186</v>
      </c>
      <c r="B1" s="1"/>
      <c r="C1" s="1"/>
      <c r="D1" s="1"/>
      <c r="E1" s="1"/>
      <c r="F1" s="1"/>
      <c r="G1" s="1"/>
      <c r="H1" s="1"/>
      <c r="I1" s="1"/>
    </row>
    <row r="2" customFormat="false" ht="42" hidden="false" customHeight="true" outlineLevel="0" collapsed="false">
      <c r="A2" s="2" t="s">
        <v>187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188</v>
      </c>
      <c r="B4" s="3" t="s">
        <v>189</v>
      </c>
      <c r="C4" s="3" t="s">
        <v>190</v>
      </c>
      <c r="D4" s="3" t="s">
        <v>191</v>
      </c>
      <c r="E4" s="3" t="s">
        <v>192</v>
      </c>
      <c r="F4" s="3" t="s">
        <v>193</v>
      </c>
      <c r="G4" s="3" t="s">
        <v>194</v>
      </c>
      <c r="H4" s="3" t="s">
        <v>195</v>
      </c>
      <c r="I4" s="3" t="s">
        <v>196</v>
      </c>
    </row>
    <row r="5" customFormat="false" ht="30" hidden="false" customHeight="true" outlineLevel="0" collapsed="false">
      <c r="A5" s="10" t="s">
        <v>197</v>
      </c>
      <c r="B5" s="4" t="s">
        <v>198</v>
      </c>
      <c r="C5" s="5" t="s">
        <v>199</v>
      </c>
      <c r="D5" s="14" t="s">
        <v>200</v>
      </c>
      <c r="E5" s="5"/>
      <c r="F5" s="5"/>
      <c r="G5" s="5"/>
      <c r="H5" s="5"/>
      <c r="I5" s="5"/>
    </row>
    <row r="6" customFormat="false" ht="30" hidden="false" customHeight="true" outlineLevel="0" collapsed="false">
      <c r="A6" s="10" t="s">
        <v>197</v>
      </c>
      <c r="B6" s="4" t="s">
        <v>201</v>
      </c>
      <c r="C6" s="5" t="s">
        <v>202</v>
      </c>
      <c r="D6" s="14" t="s">
        <v>203</v>
      </c>
      <c r="E6" s="5"/>
      <c r="F6" s="5"/>
      <c r="G6" s="5"/>
      <c r="H6" s="5"/>
      <c r="I6" s="5"/>
    </row>
    <row r="7" customFormat="false" ht="30" hidden="false" customHeight="true" outlineLevel="0" collapsed="false">
      <c r="A7" s="10" t="s">
        <v>204</v>
      </c>
      <c r="B7" s="4" t="s">
        <v>205</v>
      </c>
      <c r="C7" s="5" t="s">
        <v>206</v>
      </c>
      <c r="D7" s="14" t="s">
        <v>44</v>
      </c>
      <c r="E7" s="5"/>
      <c r="F7" s="5"/>
      <c r="G7" s="5"/>
      <c r="H7" s="5"/>
      <c r="I7" s="5"/>
    </row>
    <row r="8" customFormat="false" ht="30" hidden="false" customHeight="true" outlineLevel="0" collapsed="false">
      <c r="A8" s="10" t="s">
        <v>204</v>
      </c>
      <c r="B8" s="4" t="s">
        <v>207</v>
      </c>
      <c r="C8" s="5" t="s">
        <v>208</v>
      </c>
      <c r="D8" s="14" t="s">
        <v>44</v>
      </c>
      <c r="E8" s="5"/>
      <c r="F8" s="5"/>
      <c r="G8" s="5"/>
      <c r="H8" s="5"/>
      <c r="I8" s="5"/>
    </row>
    <row r="9" customFormat="false" ht="30" hidden="false" customHeight="true" outlineLevel="0" collapsed="false">
      <c r="A9" s="10" t="s">
        <v>204</v>
      </c>
      <c r="B9" s="4" t="s">
        <v>209</v>
      </c>
      <c r="C9" s="5" t="s">
        <v>210</v>
      </c>
      <c r="D9" s="14" t="s">
        <v>211</v>
      </c>
      <c r="E9" s="5"/>
      <c r="F9" s="5"/>
      <c r="G9" s="5"/>
      <c r="H9" s="5"/>
      <c r="I9" s="5"/>
    </row>
    <row r="10" customFormat="false" ht="30" hidden="false" customHeight="true" outlineLevel="0" collapsed="false">
      <c r="A10" s="10" t="s">
        <v>204</v>
      </c>
      <c r="B10" s="4" t="s">
        <v>212</v>
      </c>
      <c r="C10" s="5" t="s">
        <v>213</v>
      </c>
      <c r="D10" s="14" t="s">
        <v>44</v>
      </c>
      <c r="E10" s="5"/>
      <c r="F10" s="5"/>
      <c r="G10" s="5"/>
      <c r="H10" s="5"/>
      <c r="I10" s="5"/>
    </row>
    <row r="11" customFormat="false" ht="30" hidden="false" customHeight="true" outlineLevel="0" collapsed="false">
      <c r="A11" s="10" t="s">
        <v>214</v>
      </c>
      <c r="B11" s="4" t="s">
        <v>215</v>
      </c>
      <c r="C11" s="5" t="s">
        <v>216</v>
      </c>
      <c r="D11" s="14" t="s">
        <v>217</v>
      </c>
      <c r="E11" s="5"/>
      <c r="F11" s="5"/>
      <c r="G11" s="5"/>
      <c r="H11" s="5"/>
      <c r="I11" s="5"/>
    </row>
    <row r="12" customFormat="false" ht="30" hidden="false" customHeight="true" outlineLevel="0" collapsed="false">
      <c r="A12" s="10" t="s">
        <v>214</v>
      </c>
      <c r="B12" s="4" t="s">
        <v>218</v>
      </c>
      <c r="C12" s="5" t="s">
        <v>219</v>
      </c>
      <c r="D12" s="14" t="s">
        <v>44</v>
      </c>
      <c r="E12" s="5"/>
      <c r="F12" s="5"/>
      <c r="G12" s="5"/>
      <c r="H12" s="5"/>
      <c r="I12" s="5"/>
    </row>
    <row r="13" customFormat="false" ht="30" hidden="false" customHeight="true" outlineLevel="0" collapsed="false">
      <c r="A13" s="10" t="s">
        <v>214</v>
      </c>
      <c r="B13" s="4" t="s">
        <v>220</v>
      </c>
      <c r="C13" s="5" t="s">
        <v>221</v>
      </c>
      <c r="D13" s="14" t="s">
        <v>60</v>
      </c>
      <c r="E13" s="5"/>
      <c r="F13" s="5"/>
      <c r="G13" s="5"/>
      <c r="H13" s="5"/>
      <c r="I13" s="5"/>
    </row>
    <row r="14" customFormat="false" ht="30" hidden="false" customHeight="true" outlineLevel="0" collapsed="false">
      <c r="A14" s="10" t="s">
        <v>222</v>
      </c>
      <c r="B14" s="4" t="s">
        <v>223</v>
      </c>
      <c r="C14" s="5" t="s">
        <v>224</v>
      </c>
      <c r="D14" s="14" t="s">
        <v>52</v>
      </c>
      <c r="E14" s="5"/>
      <c r="F14" s="5"/>
      <c r="G14" s="5"/>
      <c r="H14" s="5"/>
      <c r="I14" s="5"/>
    </row>
    <row r="15" customFormat="false" ht="30" hidden="false" customHeight="true" outlineLevel="0" collapsed="false">
      <c r="A15" s="10" t="s">
        <v>222</v>
      </c>
      <c r="B15" s="4" t="s">
        <v>225</v>
      </c>
      <c r="C15" s="5" t="s">
        <v>226</v>
      </c>
      <c r="D15" s="14" t="s">
        <v>44</v>
      </c>
      <c r="E15" s="5"/>
      <c r="F15" s="5"/>
      <c r="G15" s="5"/>
      <c r="H15" s="5"/>
      <c r="I15" s="5"/>
    </row>
    <row r="16" customFormat="false" ht="30" hidden="false" customHeight="true" outlineLevel="0" collapsed="false">
      <c r="A16" s="10" t="s">
        <v>222</v>
      </c>
      <c r="B16" s="4" t="s">
        <v>227</v>
      </c>
      <c r="C16" s="5" t="s">
        <v>228</v>
      </c>
      <c r="D16" s="14" t="s">
        <v>44</v>
      </c>
      <c r="E16" s="5"/>
      <c r="F16" s="5"/>
      <c r="G16" s="5"/>
      <c r="H16" s="5"/>
      <c r="I16" s="5"/>
    </row>
    <row r="17" customFormat="false" ht="30" hidden="false" customHeight="true" outlineLevel="0" collapsed="false">
      <c r="A17" s="10" t="s">
        <v>222</v>
      </c>
      <c r="B17" s="4" t="s">
        <v>229</v>
      </c>
      <c r="C17" s="5" t="s">
        <v>230</v>
      </c>
      <c r="D17" s="14" t="s">
        <v>44</v>
      </c>
      <c r="E17" s="5"/>
      <c r="F17" s="5"/>
      <c r="G17" s="5"/>
      <c r="H17" s="5"/>
      <c r="I17" s="5"/>
    </row>
    <row r="18" customFormat="false" ht="30" hidden="false" customHeight="true" outlineLevel="0" collapsed="false">
      <c r="A18" s="10" t="s">
        <v>222</v>
      </c>
      <c r="B18" s="4" t="s">
        <v>231</v>
      </c>
      <c r="C18" s="5" t="s">
        <v>232</v>
      </c>
      <c r="D18" s="14" t="s">
        <v>44</v>
      </c>
      <c r="E18" s="5"/>
      <c r="F18" s="5"/>
      <c r="G18" s="5"/>
      <c r="H18" s="5"/>
      <c r="I18" s="5"/>
    </row>
    <row r="19" customFormat="false" ht="30" hidden="false" customHeight="true" outlineLevel="0" collapsed="false">
      <c r="A19" s="10" t="s">
        <v>222</v>
      </c>
      <c r="B19" s="4" t="s">
        <v>233</v>
      </c>
      <c r="C19" s="5" t="s">
        <v>234</v>
      </c>
      <c r="D19" s="14" t="s">
        <v>44</v>
      </c>
      <c r="E19" s="5"/>
      <c r="F19" s="5"/>
      <c r="G19" s="5"/>
      <c r="H19" s="5"/>
      <c r="I19" s="5"/>
    </row>
    <row r="20" customFormat="false" ht="30" hidden="false" customHeight="true" outlineLevel="0" collapsed="false">
      <c r="A20" s="10" t="s">
        <v>222</v>
      </c>
      <c r="B20" s="4" t="s">
        <v>235</v>
      </c>
      <c r="C20" s="5" t="s">
        <v>236</v>
      </c>
      <c r="D20" s="14" t="s">
        <v>52</v>
      </c>
      <c r="E20" s="5"/>
      <c r="F20" s="5"/>
      <c r="G20" s="5"/>
      <c r="H20" s="5"/>
      <c r="I20" s="5"/>
    </row>
    <row r="21" customFormat="false" ht="30" hidden="false" customHeight="true" outlineLevel="0" collapsed="false">
      <c r="A21" s="10" t="s">
        <v>222</v>
      </c>
      <c r="B21" s="4" t="s">
        <v>237</v>
      </c>
      <c r="C21" s="5" t="s">
        <v>238</v>
      </c>
      <c r="D21" s="14" t="s">
        <v>60</v>
      </c>
      <c r="E21" s="5"/>
      <c r="F21" s="5"/>
      <c r="G21" s="5"/>
      <c r="H21" s="5"/>
      <c r="I21" s="5"/>
    </row>
    <row r="22" customFormat="false" ht="30" hidden="false" customHeight="true" outlineLevel="0" collapsed="false">
      <c r="A22" s="10" t="s">
        <v>222</v>
      </c>
      <c r="B22" s="4" t="s">
        <v>239</v>
      </c>
      <c r="C22" s="5" t="s">
        <v>240</v>
      </c>
      <c r="D22" s="14" t="s">
        <v>60</v>
      </c>
      <c r="E22" s="5"/>
      <c r="F22" s="5"/>
      <c r="G22" s="5"/>
      <c r="H22" s="5"/>
      <c r="I22" s="5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E5:I22" type="list">
      <formula1>LISTEN!$H$2:$H$4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72"/>
    <col collapsed="false" customWidth="true" hidden="false" outlineLevel="0" max="4" min="4" style="0" width="34"/>
  </cols>
  <sheetData>
    <row r="1" customFormat="false" ht="25.5" hidden="false" customHeight="true" outlineLevel="0" collapsed="false">
      <c r="B1" s="1" t="s">
        <v>241</v>
      </c>
      <c r="C1" s="1"/>
      <c r="D1" s="1"/>
    </row>
    <row r="2" customFormat="false" ht="39.75" hidden="false" customHeight="true" outlineLevel="0" collapsed="false">
      <c r="B2" s="2" t="s">
        <v>242</v>
      </c>
      <c r="C2" s="2"/>
      <c r="D2" s="2"/>
    </row>
    <row r="4" customFormat="false" ht="15" hidden="false" customHeight="true" outlineLevel="0" collapsed="false">
      <c r="B4" s="6" t="s">
        <v>243</v>
      </c>
      <c r="C4" s="6"/>
      <c r="D4" s="6"/>
    </row>
    <row r="5" customFormat="false" ht="42" hidden="false" customHeight="true" outlineLevel="0" collapsed="false">
      <c r="B5" s="4" t="s">
        <v>244</v>
      </c>
      <c r="C5" s="7" t="s">
        <v>245</v>
      </c>
      <c r="D5" s="7"/>
    </row>
    <row r="6" customFormat="false" ht="42" hidden="false" customHeight="true" outlineLevel="0" collapsed="false">
      <c r="B6" s="4" t="s">
        <v>246</v>
      </c>
      <c r="C6" s="7" t="s">
        <v>247</v>
      </c>
      <c r="D6" s="7"/>
    </row>
    <row r="7" customFormat="false" ht="42" hidden="false" customHeight="true" outlineLevel="0" collapsed="false">
      <c r="B7" s="4" t="s">
        <v>248</v>
      </c>
      <c r="C7" s="7" t="s">
        <v>41</v>
      </c>
      <c r="D7" s="7"/>
    </row>
    <row r="8" customFormat="false" ht="42" hidden="false" customHeight="true" outlineLevel="0" collapsed="false">
      <c r="B8" s="4" t="s">
        <v>34</v>
      </c>
      <c r="C8" s="7" t="s">
        <v>42</v>
      </c>
      <c r="D8" s="7"/>
    </row>
    <row r="9" customFormat="false" ht="42" hidden="false" customHeight="true" outlineLevel="0" collapsed="false">
      <c r="B9" s="4" t="s">
        <v>249</v>
      </c>
      <c r="C9" s="7" t="s">
        <v>250</v>
      </c>
      <c r="D9" s="7"/>
    </row>
    <row r="10" customFormat="false" ht="42" hidden="false" customHeight="true" outlineLevel="0" collapsed="false">
      <c r="B10" s="4" t="s">
        <v>251</v>
      </c>
      <c r="C10" s="7" t="s">
        <v>252</v>
      </c>
      <c r="D10" s="7"/>
    </row>
    <row r="11" customFormat="false" ht="42" hidden="false" customHeight="true" outlineLevel="0" collapsed="false">
      <c r="B11" s="4" t="s">
        <v>253</v>
      </c>
      <c r="C11" s="7" t="s">
        <v>254</v>
      </c>
      <c r="D11" s="7"/>
    </row>
    <row r="13" customFormat="false" ht="15" hidden="false" customHeight="true" outlineLevel="0" collapsed="false">
      <c r="B13" s="6" t="s">
        <v>255</v>
      </c>
      <c r="C13" s="6"/>
      <c r="D13" s="6"/>
    </row>
    <row r="14" customFormat="false" ht="42" hidden="false" customHeight="true" outlineLevel="0" collapsed="false">
      <c r="B14" s="4" t="s">
        <v>256</v>
      </c>
      <c r="C14" s="7" t="s">
        <v>257</v>
      </c>
      <c r="D14" s="7"/>
    </row>
    <row r="15" customFormat="false" ht="42" hidden="false" customHeight="true" outlineLevel="0" collapsed="false">
      <c r="B15" s="4" t="s">
        <v>258</v>
      </c>
      <c r="C15" s="7" t="s">
        <v>259</v>
      </c>
      <c r="D15" s="7"/>
    </row>
    <row r="16" customFormat="false" ht="42" hidden="false" customHeight="true" outlineLevel="0" collapsed="false">
      <c r="B16" s="4" t="s">
        <v>260</v>
      </c>
      <c r="C16" s="7"/>
      <c r="D16" s="7"/>
    </row>
    <row r="18" customFormat="false" ht="15" hidden="false" customHeight="true" outlineLevel="0" collapsed="false">
      <c r="B18" s="6" t="s">
        <v>261</v>
      </c>
      <c r="C18" s="6"/>
      <c r="D18" s="6"/>
    </row>
    <row r="19" customFormat="false" ht="42" hidden="false" customHeight="true" outlineLevel="0" collapsed="false">
      <c r="B19" s="4" t="s">
        <v>262</v>
      </c>
      <c r="C19" s="7" t="s">
        <v>263</v>
      </c>
      <c r="D19" s="7"/>
    </row>
    <row r="20" customFormat="false" ht="42" hidden="false" customHeight="true" outlineLevel="0" collapsed="false">
      <c r="B20" s="4" t="s">
        <v>264</v>
      </c>
      <c r="C20" s="7" t="s">
        <v>265</v>
      </c>
      <c r="D20" s="7"/>
    </row>
    <row r="21" customFormat="false" ht="42" hidden="false" customHeight="true" outlineLevel="0" collapsed="false">
      <c r="B21" s="4" t="s">
        <v>266</v>
      </c>
      <c r="C21" s="7" t="s">
        <v>267</v>
      </c>
      <c r="D21" s="7"/>
    </row>
    <row r="23" customFormat="false" ht="15" hidden="false" customHeight="true" outlineLevel="0" collapsed="false">
      <c r="B23" s="6" t="s">
        <v>268</v>
      </c>
      <c r="C23" s="6"/>
      <c r="D23" s="6"/>
    </row>
    <row r="24" customFormat="false" ht="42" hidden="false" customHeight="true" outlineLevel="0" collapsed="false">
      <c r="B24" s="4" t="s">
        <v>269</v>
      </c>
      <c r="C24" s="7" t="s">
        <v>270</v>
      </c>
      <c r="D24" s="7"/>
    </row>
    <row r="25" customFormat="false" ht="42" hidden="false" customHeight="true" outlineLevel="0" collapsed="false">
      <c r="B25" s="4" t="s">
        <v>271</v>
      </c>
      <c r="C25" s="7" t="s">
        <v>272</v>
      </c>
      <c r="D25" s="7"/>
    </row>
    <row r="26" customFormat="false" ht="42" hidden="false" customHeight="true" outlineLevel="0" collapsed="false">
      <c r="B26" s="4" t="s">
        <v>273</v>
      </c>
      <c r="C26" s="7" t="s">
        <v>274</v>
      </c>
      <c r="D26" s="7"/>
    </row>
    <row r="28" customFormat="false" ht="15" hidden="false" customHeight="true" outlineLevel="0" collapsed="false">
      <c r="B28" s="6" t="s">
        <v>275</v>
      </c>
      <c r="C28" s="6"/>
      <c r="D28" s="6"/>
    </row>
    <row r="29" customFormat="false" ht="42" hidden="false" customHeight="true" outlineLevel="0" collapsed="false">
      <c r="B29" s="4" t="s">
        <v>276</v>
      </c>
      <c r="C29" s="7" t="s">
        <v>277</v>
      </c>
      <c r="D29" s="7"/>
    </row>
    <row r="30" customFormat="false" ht="42" hidden="false" customHeight="true" outlineLevel="0" collapsed="false">
      <c r="B30" s="4" t="s">
        <v>278</v>
      </c>
      <c r="C30" s="7" t="s">
        <v>279</v>
      </c>
      <c r="D30" s="7"/>
    </row>
    <row r="31" customFormat="false" ht="42" hidden="false" customHeight="true" outlineLevel="0" collapsed="false">
      <c r="B31" s="4" t="s">
        <v>280</v>
      </c>
      <c r="C31" s="7" t="s">
        <v>281</v>
      </c>
      <c r="D31" s="7"/>
    </row>
    <row r="32" customFormat="false" ht="42" hidden="false" customHeight="true" outlineLevel="0" collapsed="false">
      <c r="B32" s="4" t="s">
        <v>282</v>
      </c>
      <c r="C32" s="7" t="s">
        <v>283</v>
      </c>
      <c r="D32" s="7"/>
    </row>
    <row r="33" customFormat="false" ht="42" hidden="false" customHeight="true" outlineLevel="0" collapsed="false">
      <c r="B33" s="4" t="s">
        <v>284</v>
      </c>
      <c r="C33" s="7" t="s">
        <v>285</v>
      </c>
      <c r="D33" s="7"/>
    </row>
    <row r="35" customFormat="false" ht="15" hidden="false" customHeight="true" outlineLevel="0" collapsed="false">
      <c r="B35" s="6" t="s">
        <v>286</v>
      </c>
      <c r="C35" s="6"/>
      <c r="D35" s="6"/>
    </row>
    <row r="36" customFormat="false" ht="42" hidden="false" customHeight="true" outlineLevel="0" collapsed="false">
      <c r="B36" s="4" t="s">
        <v>287</v>
      </c>
      <c r="C36" s="7" t="s">
        <v>288</v>
      </c>
      <c r="D36" s="7"/>
    </row>
    <row r="37" customFormat="false" ht="42" hidden="false" customHeight="true" outlineLevel="0" collapsed="false">
      <c r="B37" s="4" t="s">
        <v>289</v>
      </c>
      <c r="C37" s="7" t="s">
        <v>290</v>
      </c>
      <c r="D37" s="7"/>
    </row>
  </sheetData>
  <mergeCells count="31">
    <mergeCell ref="B1:D1"/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B13:D13"/>
    <mergeCell ref="C14:D14"/>
    <mergeCell ref="C15:D15"/>
    <mergeCell ref="C16:D16"/>
    <mergeCell ref="B18:D18"/>
    <mergeCell ref="C19:D19"/>
    <mergeCell ref="C20:D20"/>
    <mergeCell ref="C21:D21"/>
    <mergeCell ref="B23:D23"/>
    <mergeCell ref="C24:D24"/>
    <mergeCell ref="C25:D25"/>
    <mergeCell ref="C26:D26"/>
    <mergeCell ref="B28:D28"/>
    <mergeCell ref="C29:D29"/>
    <mergeCell ref="C30:D30"/>
    <mergeCell ref="C31:D31"/>
    <mergeCell ref="C32:D32"/>
    <mergeCell ref="C33:D33"/>
    <mergeCell ref="B35:D35"/>
    <mergeCell ref="C36:D36"/>
    <mergeCell ref="C37:D37"/>
  </mergeCells>
  <dataValidations count="2">
    <dataValidation allowBlank="true" errorStyle="stop" operator="between" showDropDown="false" showErrorMessage="false" showInputMessage="false" sqref="C7" type="list">
      <formula1>LISTEN!$E$2:$E$5</formula1>
      <formula2>0</formula2>
    </dataValidation>
    <dataValidation allowBlank="true" errorStyle="stop" operator="between" showDropDown="false" showErrorMessage="false" showInputMessage="false" sqref="C8" type="list">
      <formula1>LISTEN!$F$2:$F$4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0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25.5" hidden="false" customHeight="true" outlineLevel="0" collapsed="false">
      <c r="A1" s="1" t="s">
        <v>291</v>
      </c>
      <c r="B1" s="1"/>
      <c r="C1" s="1"/>
      <c r="D1" s="1"/>
      <c r="E1" s="1"/>
      <c r="F1" s="1"/>
      <c r="G1" s="1"/>
      <c r="H1" s="1"/>
    </row>
    <row r="2" customFormat="false" ht="42" hidden="false" customHeight="true" outlineLevel="0" collapsed="false">
      <c r="A2" s="2" t="s">
        <v>292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6" t="s">
        <v>293</v>
      </c>
      <c r="B4" s="6"/>
      <c r="C4" s="6"/>
      <c r="D4" s="6"/>
      <c r="E4" s="6"/>
      <c r="F4" s="6"/>
      <c r="G4" s="6"/>
      <c r="H4" s="6"/>
    </row>
    <row r="5" customFormat="false" ht="30" hidden="false" customHeight="true" outlineLevel="0" collapsed="false">
      <c r="A5" s="3" t="s">
        <v>294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</row>
    <row r="6" customFormat="false" ht="23.85" hidden="false" customHeight="false" outlineLevel="0" collapsed="false">
      <c r="A6" s="5" t="s">
        <v>116</v>
      </c>
      <c r="B6" s="5" t="s">
        <v>302</v>
      </c>
      <c r="C6" s="5" t="s">
        <v>303</v>
      </c>
      <c r="D6" s="5"/>
      <c r="E6" s="5"/>
      <c r="F6" s="5"/>
      <c r="G6" s="15" t="str">
        <f aca="false">IF(COUNT(D6:F6)=0,"",AVERAGE(D6:F6))</f>
        <v/>
      </c>
      <c r="H6" s="5"/>
    </row>
    <row r="7" customFormat="false" ht="15" hidden="false" customHeight="false" outlineLevel="0" collapsed="false">
      <c r="A7" s="5"/>
      <c r="B7" s="5"/>
      <c r="C7" s="5" t="s">
        <v>304</v>
      </c>
      <c r="D7" s="5"/>
      <c r="E7" s="5"/>
      <c r="F7" s="5"/>
      <c r="G7" s="15" t="str">
        <f aca="false">IF(COUNT(D7:F7)=0,"",AVERAGE(D7:F7))</f>
        <v/>
      </c>
      <c r="H7" s="5"/>
    </row>
    <row r="8" customFormat="false" ht="15" hidden="false" customHeight="false" outlineLevel="0" collapsed="false">
      <c r="A8" s="5"/>
      <c r="B8" s="5"/>
      <c r="C8" s="5" t="s">
        <v>305</v>
      </c>
      <c r="D8" s="5"/>
      <c r="E8" s="5"/>
      <c r="F8" s="5"/>
      <c r="G8" s="15" t="str">
        <f aca="false">IF(COUNT(D8:F8)=0,"",AVERAGE(D8:F8))</f>
        <v/>
      </c>
      <c r="H8" s="5"/>
    </row>
    <row r="9" customFormat="false" ht="15" hidden="false" customHeight="false" outlineLevel="0" collapsed="false">
      <c r="A9" s="5"/>
      <c r="B9" s="5"/>
      <c r="C9" s="5" t="s">
        <v>306</v>
      </c>
      <c r="D9" s="5"/>
      <c r="E9" s="5"/>
      <c r="F9" s="5"/>
      <c r="G9" s="15" t="str">
        <f aca="false">IF(COUNT(D9:F9)=0,"",AVERAGE(D9:F9))</f>
        <v/>
      </c>
      <c r="H9" s="5"/>
    </row>
    <row r="10" customFormat="false" ht="15" hidden="false" customHeight="false" outlineLevel="0" collapsed="false">
      <c r="A10" s="14"/>
      <c r="B10" s="16" t="s">
        <v>307</v>
      </c>
      <c r="C10" s="14"/>
      <c r="D10" s="14"/>
      <c r="E10" s="14"/>
      <c r="F10" s="14"/>
      <c r="G10" s="17" t="str">
        <f aca="false">IF(COUNT(D6:F9)=0,"",AVERAGE(D6:F9)/2)</f>
        <v/>
      </c>
      <c r="H10" s="14"/>
    </row>
    <row r="11" customFormat="false" ht="15" hidden="false" customHeight="false" outlineLevel="0" collapsed="false">
      <c r="A11" s="5" t="s">
        <v>122</v>
      </c>
      <c r="B11" s="5" t="s">
        <v>308</v>
      </c>
      <c r="C11" s="5" t="s">
        <v>303</v>
      </c>
      <c r="D11" s="5"/>
      <c r="E11" s="5"/>
      <c r="F11" s="5"/>
      <c r="G11" s="15" t="str">
        <f aca="false">IF(COUNT(D11:F11)=0,"",AVERAGE(D11:F11))</f>
        <v/>
      </c>
      <c r="H11" s="5"/>
    </row>
    <row r="12" customFormat="false" ht="15" hidden="false" customHeight="false" outlineLevel="0" collapsed="false">
      <c r="A12" s="5"/>
      <c r="B12" s="5"/>
      <c r="C12" s="5" t="s">
        <v>304</v>
      </c>
      <c r="D12" s="5"/>
      <c r="E12" s="5"/>
      <c r="F12" s="5"/>
      <c r="G12" s="15" t="str">
        <f aca="false">IF(COUNT(D12:F12)=0,"",AVERAGE(D12:F12))</f>
        <v/>
      </c>
      <c r="H12" s="5"/>
    </row>
    <row r="13" customFormat="false" ht="15" hidden="false" customHeight="false" outlineLevel="0" collapsed="false">
      <c r="A13" s="5"/>
      <c r="B13" s="5"/>
      <c r="C13" s="5" t="s">
        <v>305</v>
      </c>
      <c r="D13" s="5"/>
      <c r="E13" s="5"/>
      <c r="F13" s="5"/>
      <c r="G13" s="15" t="str">
        <f aca="false">IF(COUNT(D13:F13)=0,"",AVERAGE(D13:F13))</f>
        <v/>
      </c>
      <c r="H13" s="5"/>
    </row>
    <row r="14" customFormat="false" ht="15" hidden="false" customHeight="false" outlineLevel="0" collapsed="false">
      <c r="A14" s="5"/>
      <c r="B14" s="5"/>
      <c r="C14" s="5" t="s">
        <v>306</v>
      </c>
      <c r="D14" s="5"/>
      <c r="E14" s="5"/>
      <c r="F14" s="5"/>
      <c r="G14" s="15" t="str">
        <f aca="false">IF(COUNT(D14:F14)=0,"",AVERAGE(D14:F14))</f>
        <v/>
      </c>
      <c r="H14" s="5"/>
    </row>
    <row r="15" customFormat="false" ht="15" hidden="false" customHeight="false" outlineLevel="0" collapsed="false">
      <c r="A15" s="14"/>
      <c r="B15" s="16" t="s">
        <v>309</v>
      </c>
      <c r="C15" s="14"/>
      <c r="D15" s="14"/>
      <c r="E15" s="14"/>
      <c r="F15" s="14"/>
      <c r="G15" s="17" t="str">
        <f aca="false">IF(COUNT(D11:F14)=0,"",AVERAGE(D11:F14)/2)</f>
        <v/>
      </c>
      <c r="H15" s="14"/>
    </row>
    <row r="17" customFormat="false" ht="15" hidden="false" customHeight="true" outlineLevel="0" collapsed="false">
      <c r="A17" s="6" t="s">
        <v>310</v>
      </c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 t="s">
        <v>311</v>
      </c>
      <c r="C18" s="3" t="s">
        <v>312</v>
      </c>
      <c r="D18" s="3" t="s">
        <v>313</v>
      </c>
      <c r="E18" s="3" t="s">
        <v>314</v>
      </c>
      <c r="F18" s="3" t="s">
        <v>315</v>
      </c>
      <c r="G18" s="3" t="s">
        <v>300</v>
      </c>
    </row>
    <row r="19" customFormat="false" ht="27.75" hidden="false" customHeight="true" outlineLevel="0" collapsed="false">
      <c r="A19" s="5"/>
      <c r="B19" s="5" t="s">
        <v>316</v>
      </c>
      <c r="C19" s="5" t="s">
        <v>317</v>
      </c>
      <c r="D19" s="18"/>
      <c r="E19" s="18"/>
      <c r="F19" s="18"/>
      <c r="G19" s="19" t="str">
        <f aca="false">IF(COUNT(D19:F19)=0,"",AVERAGE(D19:F19))</f>
        <v/>
      </c>
    </row>
    <row r="20" customFormat="false" ht="27.75" hidden="false" customHeight="true" outlineLevel="0" collapsed="false">
      <c r="A20" s="5"/>
      <c r="B20" s="5"/>
      <c r="C20" s="5" t="s">
        <v>318</v>
      </c>
      <c r="D20" s="18"/>
      <c r="E20" s="18"/>
      <c r="F20" s="18"/>
      <c r="G20" s="19" t="str">
        <f aca="false">IF(COUNT(D20:F20)=0,"",AVERAGE(D20:F20))</f>
        <v/>
      </c>
    </row>
    <row r="21" customFormat="false" ht="27.75" hidden="false" customHeight="true" outlineLevel="0" collapsed="false">
      <c r="A21" s="5"/>
      <c r="B21" s="5" t="s">
        <v>319</v>
      </c>
      <c r="C21" s="5" t="s">
        <v>317</v>
      </c>
      <c r="D21" s="18"/>
      <c r="E21" s="18"/>
      <c r="F21" s="18"/>
      <c r="G21" s="19" t="str">
        <f aca="false">IF(COUNT(D21:F21)=0,"",AVERAGE(D21:F21))</f>
        <v/>
      </c>
    </row>
    <row r="22" customFormat="false" ht="27.75" hidden="false" customHeight="true" outlineLevel="0" collapsed="false">
      <c r="A22" s="5"/>
      <c r="B22" s="5"/>
      <c r="C22" s="5" t="s">
        <v>318</v>
      </c>
      <c r="D22" s="18"/>
      <c r="E22" s="18"/>
      <c r="F22" s="18"/>
      <c r="G22" s="19" t="str">
        <f aca="false">IF(COUNT(D22:F22)=0,"",AVERAGE(D22:F22))</f>
        <v/>
      </c>
    </row>
    <row r="24" customFormat="false" ht="22.35" hidden="false" customHeight="true" outlineLevel="0" collapsed="false">
      <c r="A24" s="2" t="s">
        <v>320</v>
      </c>
      <c r="B24" s="2"/>
      <c r="C24" s="2"/>
      <c r="D24" s="2"/>
      <c r="E24" s="2"/>
      <c r="F24" s="2"/>
      <c r="G24" s="2"/>
      <c r="H24" s="2"/>
    </row>
  </sheetData>
  <mergeCells count="5">
    <mergeCell ref="A1:H1"/>
    <mergeCell ref="A2:H2"/>
    <mergeCell ref="A4:H4"/>
    <mergeCell ref="A17:H17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2026-07-01T20:56:01Z</dcterms:created>
  <dc:creator>openpyxl</dc:creator>
  <dc:description/>
  <dc:language>en-US</dc:language>
  <cp:lastModifiedBy/>
  <dcterms:modified xsi:type="dcterms:W3CDTF">2026-07-01T20:56:01Z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